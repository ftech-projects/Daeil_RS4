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대일 공업\RS4\"/>
    </mc:Choice>
  </mc:AlternateContent>
  <xr:revisionPtr revIDLastSave="0" documentId="13_ncr:1_{50ED97DC-44CF-43B7-B70C-F55AE00F8D3E}" xr6:coauthVersionLast="46" xr6:coauthVersionMax="46" xr10:uidLastSave="{00000000-0000-0000-0000-000000000000}"/>
  <bookViews>
    <workbookView xWindow="-120" yWindow="-120" windowWidth="29040" windowHeight="15840" tabRatio="590" activeTab="1" xr2:uid="{00000000-000D-0000-FFFF-FFFF00000000}"/>
  </bookViews>
  <sheets>
    <sheet name="센서위치" sheetId="4" r:id="rId1"/>
    <sheet name="컨베어 " sheetId="1" r:id="rId2"/>
    <sheet name="IP 목록" sheetId="3" r:id="rId3"/>
  </sheets>
  <definedNames>
    <definedName name="_xlnm.Print_Area" localSheetId="0">센서위치!$A$1:$T$51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9" i="1" l="1"/>
  <c r="R11" i="1" s="1"/>
  <c r="R13" i="1" s="1"/>
  <c r="R15" i="1" s="1"/>
  <c r="R17" i="1" s="1"/>
  <c r="R19" i="1" s="1"/>
  <c r="R21" i="1" s="1"/>
  <c r="Q9" i="1"/>
  <c r="Q11" i="1" s="1"/>
  <c r="O9" i="1"/>
  <c r="O11" i="1" s="1"/>
  <c r="N9" i="1"/>
  <c r="N11" i="1" s="1"/>
  <c r="N13" i="1" s="1"/>
  <c r="N15" i="1" s="1"/>
  <c r="N17" i="1" s="1"/>
  <c r="N19" i="1" s="1"/>
  <c r="N21" i="1" s="1"/>
  <c r="M9" i="1"/>
  <c r="M11" i="1" s="1"/>
  <c r="M13" i="1" s="1"/>
  <c r="L9" i="1"/>
  <c r="L11" i="1" s="1"/>
  <c r="L13" i="1" s="1"/>
  <c r="L15" i="1" s="1"/>
  <c r="L17" i="1" s="1"/>
  <c r="L19" i="1" s="1"/>
  <c r="L21" i="1" s="1"/>
  <c r="L23" i="1" s="1"/>
  <c r="L25" i="1" s="1"/>
  <c r="L27" i="1" s="1"/>
  <c r="L29" i="1" s="1"/>
  <c r="K9" i="1"/>
  <c r="K11" i="1" s="1"/>
  <c r="K13" i="1" s="1"/>
  <c r="K15" i="1" s="1"/>
  <c r="K17" i="1" s="1"/>
  <c r="K19" i="1" s="1"/>
  <c r="K21" i="1" s="1"/>
  <c r="K23" i="1" s="1"/>
  <c r="K25" i="1" s="1"/>
  <c r="K27" i="1" s="1"/>
  <c r="K29" i="1" s="1"/>
  <c r="J9" i="1"/>
  <c r="J11" i="1" s="1"/>
  <c r="J13" i="1" s="1"/>
  <c r="J15" i="1" s="1"/>
  <c r="J17" i="1" s="1"/>
  <c r="J19" i="1" s="1"/>
  <c r="J21" i="1" s="1"/>
  <c r="I9" i="1"/>
  <c r="I11" i="1" s="1"/>
  <c r="H9" i="1"/>
  <c r="H11" i="1" s="1"/>
  <c r="H13" i="1" s="1"/>
  <c r="H15" i="1" s="1"/>
  <c r="H17" i="1" s="1"/>
  <c r="H19" i="1" s="1"/>
  <c r="H21" i="1" s="1"/>
  <c r="G9" i="1" l="1"/>
  <c r="G11" i="1" s="1"/>
  <c r="G13" i="1" s="1"/>
  <c r="G15" i="1" s="1"/>
  <c r="G17" i="1" s="1"/>
  <c r="G19" i="1" s="1"/>
  <c r="G21" i="1" s="1"/>
  <c r="G23" i="1" s="1"/>
  <c r="G25" i="1" s="1"/>
  <c r="G27" i="1" s="1"/>
  <c r="G29" i="1" s="1"/>
  <c r="H23" i="1"/>
  <c r="H25" i="1" s="1"/>
  <c r="H27" i="1" s="1"/>
  <c r="H29" i="1" s="1"/>
  <c r="J23" i="1"/>
  <c r="J25" i="1" s="1"/>
  <c r="J27" i="1" s="1"/>
  <c r="J29" i="1" s="1"/>
  <c r="I13" i="1"/>
  <c r="I15" i="1" s="1"/>
  <c r="I17" i="1" s="1"/>
  <c r="I19" i="1" s="1"/>
  <c r="I21" i="1" s="1"/>
  <c r="I23" i="1" s="1"/>
  <c r="I25" i="1" s="1"/>
  <c r="I27" i="1" s="1"/>
  <c r="I29" i="1" s="1"/>
  <c r="R23" i="1"/>
  <c r="R25" i="1" s="1"/>
  <c r="R27" i="1" s="1"/>
  <c r="R29" i="1" s="1"/>
  <c r="Q13" i="1"/>
  <c r="Q15" i="1" s="1"/>
  <c r="Q17" i="1" s="1"/>
  <c r="Q19" i="1" s="1"/>
  <c r="Q21" i="1" s="1"/>
  <c r="Q23" i="1" s="1"/>
  <c r="Q25" i="1" s="1"/>
  <c r="Q27" i="1" s="1"/>
  <c r="Q29" i="1" s="1"/>
  <c r="N23" i="1"/>
  <c r="N25" i="1" s="1"/>
  <c r="N27" i="1" s="1"/>
  <c r="N29" i="1" s="1"/>
  <c r="F9" i="1"/>
  <c r="F11" i="1" s="1"/>
  <c r="F13" i="1" s="1"/>
  <c r="F15" i="1" s="1"/>
  <c r="F17" i="1" s="1"/>
  <c r="F19" i="1" s="1"/>
  <c r="F21" i="1" s="1"/>
  <c r="F23" i="1" s="1"/>
  <c r="F25" i="1" s="1"/>
  <c r="F27" i="1" s="1"/>
  <c r="F29" i="1" s="1"/>
  <c r="D9" i="1"/>
  <c r="D11" i="1" s="1"/>
  <c r="D13" i="1" s="1"/>
  <c r="D15" i="1" s="1"/>
  <c r="D17" i="1" s="1"/>
  <c r="D19" i="1" s="1"/>
  <c r="D21" i="1" s="1"/>
  <c r="D23" i="1" s="1"/>
  <c r="D25" i="1" s="1"/>
  <c r="C9" i="1"/>
  <c r="C11" i="1" s="1"/>
  <c r="C13" i="1" s="1"/>
  <c r="C15" i="1" s="1"/>
  <c r="C17" i="1" s="1"/>
  <c r="C19" i="1" s="1"/>
  <c r="C21" i="1" s="1"/>
  <c r="C23" i="1" s="1"/>
  <c r="C25" i="1" s="1"/>
  <c r="C27" i="1" s="1"/>
  <c r="C29" i="1" s="1"/>
  <c r="E9" i="1"/>
  <c r="E11" i="1" s="1"/>
  <c r="E13" i="1" s="1"/>
  <c r="E15" i="1" s="1"/>
  <c r="E17" i="1" s="1"/>
  <c r="E19" i="1" s="1"/>
  <c r="E21" i="1" s="1"/>
  <c r="E23" i="1" s="1"/>
  <c r="E25" i="1" s="1"/>
  <c r="E27" i="1" s="1"/>
  <c r="E29" i="1" s="1"/>
  <c r="D27" i="1" l="1"/>
  <c r="D29" i="1" s="1"/>
  <c r="M15" i="1" l="1"/>
  <c r="M17" i="1" s="1"/>
  <c r="M19" i="1" s="1"/>
  <c r="M21" i="1" s="1"/>
  <c r="M23" i="1" s="1"/>
  <c r="M25" i="1" s="1"/>
  <c r="M27" i="1" s="1"/>
  <c r="M29" i="1" s="1"/>
</calcChain>
</file>

<file path=xl/sharedStrings.xml><?xml version="1.0" encoding="utf-8"?>
<sst xmlns="http://schemas.openxmlformats.org/spreadsheetml/2006/main" count="231" uniqueCount="146">
  <si>
    <t>IN</t>
  </si>
  <si>
    <t>OUT</t>
  </si>
  <si>
    <t xml:space="preserve"> </t>
  </si>
  <si>
    <t>192.168.0.210</t>
  </si>
  <si>
    <t>무선 공유기</t>
  </si>
  <si>
    <t>192.168.0.200</t>
  </si>
  <si>
    <t>서버</t>
  </si>
  <si>
    <t>192.168.0.201</t>
  </si>
  <si>
    <t>제어 및 원격</t>
  </si>
  <si>
    <t>192.168.0.202</t>
  </si>
  <si>
    <t>품번선택</t>
  </si>
  <si>
    <t>S10</t>
  </si>
  <si>
    <t>192.168.0.211</t>
  </si>
  <si>
    <t>S20</t>
  </si>
  <si>
    <t>S30</t>
  </si>
  <si>
    <t>S40</t>
  </si>
  <si>
    <t>S50</t>
  </si>
  <si>
    <t>S60</t>
  </si>
  <si>
    <t>S80</t>
  </si>
  <si>
    <t>S90</t>
  </si>
  <si>
    <t>S100</t>
  </si>
  <si>
    <t>S110</t>
  </si>
  <si>
    <t>S120</t>
  </si>
  <si>
    <t>S130</t>
  </si>
  <si>
    <t>S140</t>
  </si>
  <si>
    <t>S150</t>
  </si>
  <si>
    <t>SUB L</t>
  </si>
  <si>
    <t>SUB R</t>
  </si>
  <si>
    <t>192.168.0.212</t>
  </si>
  <si>
    <t>192.168.0.213</t>
  </si>
  <si>
    <t>192.168.0.214</t>
  </si>
  <si>
    <t>192.168.0.215</t>
  </si>
  <si>
    <t>192.168.0.216</t>
  </si>
  <si>
    <t>192.168.0.217</t>
  </si>
  <si>
    <t>192.168.0.218</t>
  </si>
  <si>
    <t>192.168.0.219</t>
  </si>
  <si>
    <t>192.168.0.220</t>
  </si>
  <si>
    <t>192.168.0.221</t>
  </si>
  <si>
    <t>192.168.0.222</t>
  </si>
  <si>
    <t>192.168.0.223</t>
  </si>
  <si>
    <t>192.168.0.224</t>
  </si>
  <si>
    <t>192.168.0.225</t>
  </si>
  <si>
    <t>192.168.0.226</t>
  </si>
  <si>
    <t>192.168.0.227</t>
  </si>
  <si>
    <t>PLC 메인</t>
  </si>
  <si>
    <t>192.168.0.100</t>
  </si>
  <si>
    <t>PLC 검사</t>
  </si>
  <si>
    <t>192.168.0.102</t>
  </si>
  <si>
    <t>조립 1차</t>
  </si>
  <si>
    <t>조립 2차</t>
  </si>
  <si>
    <t>PLC IP</t>
  </si>
  <si>
    <t>PC IP</t>
  </si>
  <si>
    <t>D4202</t>
  </si>
  <si>
    <t>D4203</t>
  </si>
  <si>
    <t>D4207</t>
  </si>
  <si>
    <t>D4206</t>
  </si>
  <si>
    <t>D4205</t>
  </si>
  <si>
    <t>D4204</t>
  </si>
  <si>
    <t>D4208</t>
  </si>
  <si>
    <t>D4209</t>
  </si>
  <si>
    <t>D4210</t>
  </si>
  <si>
    <t>D4211</t>
  </si>
  <si>
    <t>D4212</t>
  </si>
  <si>
    <t>D4213</t>
  </si>
  <si>
    <t>D4214</t>
  </si>
  <si>
    <t>D4215</t>
  </si>
  <si>
    <t>D4216</t>
  </si>
  <si>
    <t>D4217</t>
  </si>
  <si>
    <t>D4218</t>
  </si>
  <si>
    <t>D4219</t>
  </si>
  <si>
    <t>D4220</t>
  </si>
  <si>
    <t>D4221</t>
  </si>
  <si>
    <t>#S20</t>
  </si>
  <si>
    <t>#S30</t>
  </si>
  <si>
    <t>D4102</t>
  </si>
  <si>
    <t>D4103</t>
  </si>
  <si>
    <t>D4104</t>
  </si>
  <si>
    <t>D4105</t>
  </si>
  <si>
    <t>D4106</t>
  </si>
  <si>
    <t>D4121</t>
  </si>
  <si>
    <t>D4120</t>
  </si>
  <si>
    <t>D4119</t>
  </si>
  <si>
    <t>D4118</t>
  </si>
  <si>
    <t>D4117</t>
  </si>
  <si>
    <t>D4116</t>
  </si>
  <si>
    <t>D4115</t>
  </si>
  <si>
    <t>D4114</t>
  </si>
  <si>
    <t>D4113</t>
  </si>
  <si>
    <t>D4112</t>
  </si>
  <si>
    <t>D4111</t>
  </si>
  <si>
    <t>D4110</t>
  </si>
  <si>
    <t>D4109</t>
  </si>
  <si>
    <t>D4108</t>
  </si>
  <si>
    <t>D4107</t>
  </si>
  <si>
    <t>D4302</t>
  </si>
  <si>
    <t>D4303</t>
  </si>
  <si>
    <t>D4304</t>
  </si>
  <si>
    <t>D4305</t>
  </si>
  <si>
    <t>D4306</t>
  </si>
  <si>
    <t>D4307</t>
  </si>
  <si>
    <t>D4308</t>
  </si>
  <si>
    <t>D4309</t>
  </si>
  <si>
    <t>D4310</t>
  </si>
  <si>
    <t>#S40</t>
  </si>
  <si>
    <t>D4122</t>
  </si>
  <si>
    <t>D4000</t>
  </si>
  <si>
    <t>방음실 1</t>
    <phoneticPr fontId="1" type="noConversion"/>
  </si>
  <si>
    <t>출하</t>
    <phoneticPr fontId="1" type="noConversion"/>
  </si>
  <si>
    <t>192.168.0.105</t>
  </si>
  <si>
    <t>192.168.0.110</t>
  </si>
  <si>
    <t>192.168.0.115</t>
  </si>
  <si>
    <t>192.168.0.120</t>
  </si>
  <si>
    <t>사양 : 192.168.0.102
공정 : 192.168.0.103</t>
    <phoneticPr fontId="1" type="noConversion"/>
  </si>
  <si>
    <t>192.168.0.107</t>
  </si>
  <si>
    <t>192.168.0.112</t>
  </si>
  <si>
    <t>192.168.0.117</t>
  </si>
  <si>
    <t>192.168.0.122</t>
  </si>
  <si>
    <t>LH : 1
RH : 2</t>
    <phoneticPr fontId="1" type="noConversion"/>
  </si>
  <si>
    <t>조립 3차</t>
    <phoneticPr fontId="1" type="noConversion"/>
  </si>
  <si>
    <t>조립 4차 VIP</t>
    <phoneticPr fontId="1" type="noConversion"/>
  </si>
  <si>
    <t>192.168.0.108</t>
    <phoneticPr fontId="1" type="noConversion"/>
  </si>
  <si>
    <t>PULLMA : 1
L/S : 2</t>
    <phoneticPr fontId="1" type="noConversion"/>
  </si>
  <si>
    <t>F/REST : 1</t>
    <phoneticPr fontId="1" type="noConversion"/>
  </si>
  <si>
    <t>MON : 1</t>
    <phoneticPr fontId="1" type="noConversion"/>
  </si>
  <si>
    <t>PC 레디 토글 : 1</t>
    <phoneticPr fontId="1" type="noConversion"/>
  </si>
  <si>
    <t xml:space="preserve"> 스캔완료 : 1</t>
    <phoneticPr fontId="1" type="noConversion"/>
  </si>
  <si>
    <t>작업 완료 : 1</t>
    <phoneticPr fontId="1" type="noConversion"/>
  </si>
  <si>
    <t>PLC 레디 : 1
0 이면 리셋</t>
    <phoneticPr fontId="1" type="noConversion"/>
  </si>
  <si>
    <t>에어툴 : 1 (0.5초)</t>
    <phoneticPr fontId="1" type="noConversion"/>
  </si>
  <si>
    <t>PC 완료 : 1</t>
    <phoneticPr fontId="1" type="noConversion"/>
  </si>
  <si>
    <t>작업 시작 : 1</t>
    <phoneticPr fontId="1" type="noConversion"/>
  </si>
  <si>
    <t>STD : 1
FOLD : 2
VIP : 3</t>
    <phoneticPr fontId="1" type="noConversion"/>
  </si>
  <si>
    <t>VIP</t>
    <phoneticPr fontId="1" type="noConversion"/>
  </si>
  <si>
    <t>일반</t>
    <phoneticPr fontId="1" type="noConversion"/>
  </si>
  <si>
    <t>툴 : 1 (0.5초)</t>
    <phoneticPr fontId="1" type="noConversion"/>
  </si>
  <si>
    <t>리벳 1차 완료</t>
    <phoneticPr fontId="1" type="noConversion"/>
  </si>
  <si>
    <t>리벳 2차 완료</t>
    <phoneticPr fontId="1" type="noConversion"/>
  </si>
  <si>
    <t>리벳 1차</t>
    <phoneticPr fontId="1" type="noConversion"/>
  </si>
  <si>
    <t>리벳 2차</t>
    <phoneticPr fontId="1" type="noConversion"/>
  </si>
  <si>
    <t>리벳 3차 완료</t>
    <phoneticPr fontId="1" type="noConversion"/>
  </si>
  <si>
    <t>리벳</t>
    <phoneticPr fontId="1" type="noConversion"/>
  </si>
  <si>
    <t>에어툴</t>
    <phoneticPr fontId="1" type="noConversion"/>
  </si>
  <si>
    <t>검사 완료 : 1</t>
    <phoneticPr fontId="1" type="noConversion"/>
  </si>
  <si>
    <t>툴 완료</t>
    <phoneticPr fontId="1" type="noConversion"/>
  </si>
  <si>
    <t>검사 시작 : 1</t>
    <phoneticPr fontId="1" type="noConversion"/>
  </si>
  <si>
    <t>검사시작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</si>
</sst>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 x14ac:knownFonts="1">
    <font>
      <sz val="11"/>
      <color theme="1"/>
      <name val="맑은 고딕"/>
      <scheme val="minor"/>
    </font>
    <font>
      <sz val="8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79995117038483843"/>
        <bgColor rgb="FF000000"/>
      </patternFill>
    </fill>
    <fill>
      <patternFill patternType="solid">
        <fgColor theme="7" tint="0.7999511703848384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8" tint="0.79995117038483843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5" borderId="0" xfId="0" applyNumberFormat="1" applyFill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6" fillId="4" borderId="9" xfId="0" applyNumberFormat="1" applyFont="1" applyFill="1" applyBorder="1" applyAlignment="1">
      <alignment horizontal="center" vertical="center" wrapText="1"/>
    </xf>
    <xf numFmtId="176" fontId="6" fillId="8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176" fontId="6" fillId="8" borderId="9" xfId="0" applyNumberFormat="1" applyFont="1" applyFill="1" applyBorder="1" applyAlignment="1">
      <alignment horizontal="center" vertical="center"/>
    </xf>
    <xf numFmtId="176" fontId="6" fillId="4" borderId="9" xfId="0" applyNumberFormat="1" applyFont="1" applyFill="1" applyBorder="1" applyAlignment="1">
      <alignment horizontal="center" vertical="center"/>
    </xf>
    <xf numFmtId="49" fontId="6" fillId="7" borderId="9" xfId="0" applyNumberFormat="1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/>
    </xf>
    <xf numFmtId="176" fontId="6" fillId="7" borderId="9" xfId="0" applyNumberFormat="1" applyFont="1" applyFill="1" applyBorder="1" applyAlignment="1">
      <alignment horizontal="center" vertical="center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176" fontId="6" fillId="7" borderId="9" xfId="0" applyNumberFormat="1" applyFont="1" applyFill="1" applyBorder="1" applyAlignment="1">
      <alignment horizontal="center" vertical="center" wrapText="1"/>
    </xf>
    <xf numFmtId="176" fontId="6" fillId="9" borderId="9" xfId="0" applyNumberFormat="1" applyFont="1" applyFill="1" applyBorder="1" applyAlignment="1">
      <alignment horizontal="center" vertical="center" wrapText="1"/>
    </xf>
    <xf numFmtId="176" fontId="6" fillId="9" borderId="9" xfId="0" applyNumberFormat="1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 wrapText="1"/>
    </xf>
    <xf numFmtId="176" fontId="6" fillId="6" borderId="9" xfId="0" applyNumberFormat="1" applyFont="1" applyFill="1" applyBorder="1" applyAlignment="1">
      <alignment horizontal="center" vertical="center"/>
    </xf>
    <xf numFmtId="176" fontId="6" fillId="6" borderId="9" xfId="0" applyNumberFormat="1" applyFont="1" applyFill="1" applyBorder="1" applyAlignment="1">
      <alignment horizontal="center" vertical="center" wrapText="1"/>
    </xf>
    <xf numFmtId="176" fontId="10" fillId="11" borderId="9" xfId="0" applyNumberFormat="1" applyFont="1" applyFill="1" applyBorder="1" applyAlignment="1">
      <alignment horizontal="center" vertical="center"/>
    </xf>
    <xf numFmtId="176" fontId="10" fillId="11" borderId="9" xfId="0" applyNumberFormat="1" applyFont="1" applyFill="1" applyBorder="1" applyAlignment="1">
      <alignment horizontal="center" vertical="center" wrapText="1"/>
    </xf>
    <xf numFmtId="49" fontId="5" fillId="6" borderId="10" xfId="0" applyNumberFormat="1" applyFont="1" applyFill="1" applyBorder="1" applyAlignment="1">
      <alignment horizontal="center" vertical="center"/>
    </xf>
    <xf numFmtId="49" fontId="5" fillId="6" borderId="11" xfId="0" applyNumberFormat="1" applyFont="1" applyFill="1" applyBorder="1" applyAlignment="1">
      <alignment horizontal="center" vertical="center"/>
    </xf>
    <xf numFmtId="49" fontId="5" fillId="6" borderId="12" xfId="0" applyNumberFormat="1" applyFont="1" applyFill="1" applyBorder="1" applyAlignment="1">
      <alignment horizontal="center" vertical="center"/>
    </xf>
    <xf numFmtId="176" fontId="6" fillId="10" borderId="9" xfId="0" applyNumberFormat="1" applyFont="1" applyFill="1" applyBorder="1" applyAlignment="1">
      <alignment horizontal="center" vertical="center"/>
    </xf>
    <xf numFmtId="49" fontId="6" fillId="10" borderId="9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center" vertical="center"/>
    </xf>
    <xf numFmtId="49" fontId="5" fillId="6" borderId="9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6" borderId="1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center" vertical="center" wrapText="1"/>
    </xf>
    <xf numFmtId="49" fontId="5" fillId="6" borderId="10" xfId="0" applyNumberFormat="1" applyFont="1" applyFill="1" applyBorder="1" applyAlignment="1">
      <alignment horizontal="center" vertical="center"/>
    </xf>
    <xf numFmtId="49" fontId="5" fillId="6" borderId="12" xfId="0" applyNumberFormat="1" applyFont="1" applyFill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</xdr:colOff>
      <xdr:row>0</xdr:row>
      <xdr:rowOff>231775</xdr:rowOff>
    </xdr:from>
    <xdr:to>
      <xdr:col>11</xdr:col>
      <xdr:colOff>90805</xdr:colOff>
      <xdr:row>1</xdr:row>
      <xdr:rowOff>290195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/>
        </xdr:cNvSpPr>
      </xdr:nvSpPr>
      <xdr:spPr>
        <a:xfrm>
          <a:off x="2929890" y="218440"/>
          <a:ext cx="1731010" cy="401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>
          <a:noAutofit/>
        </a:bodyPr>
        <a:lstStyle/>
        <a:p>
          <a:pPr algn="ctr"/>
          <a:r>
            <a:rPr lang="ko-KR" altLang="en-US" sz="1100" kern="1200">
              <a:solidFill>
                <a:srgbClr val="FFFFFF"/>
              </a:solidFill>
              <a:latin typeface="Calibri"/>
              <a:ea typeface="Calibri"/>
            </a:rPr>
            <a:t>모니터</a:t>
          </a:r>
        </a:p>
      </xdr:txBody>
    </xdr:sp>
    <xdr:clientData/>
  </xdr:twoCellAnchor>
  <xdr:twoCellAnchor>
    <xdr:from>
      <xdr:col>7</xdr:col>
      <xdr:colOff>538480</xdr:colOff>
      <xdr:row>17</xdr:row>
      <xdr:rowOff>248285</xdr:rowOff>
    </xdr:from>
    <xdr:to>
      <xdr:col>12</xdr:col>
      <xdr:colOff>0</xdr:colOff>
      <xdr:row>18</xdr:row>
      <xdr:rowOff>306705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>
        <a:xfrm>
          <a:off x="3394075" y="6064250"/>
          <a:ext cx="1728470" cy="401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>
          <a:noAutofit/>
        </a:bodyPr>
        <a:lstStyle/>
        <a:p>
          <a:pPr algn="ctr"/>
          <a:r>
            <a:rPr lang="ko-KR" altLang="en-US" sz="1100" kern="1200">
              <a:solidFill>
                <a:srgbClr val="FFFFFF"/>
              </a:solidFill>
              <a:latin typeface="Calibri"/>
              <a:ea typeface="Calibri"/>
            </a:rPr>
            <a:t>모니터</a:t>
          </a:r>
        </a:p>
      </xdr:txBody>
    </xdr:sp>
    <xdr:clientData/>
  </xdr:twoCellAnchor>
  <xdr:twoCellAnchor>
    <xdr:from>
      <xdr:col>7</xdr:col>
      <xdr:colOff>450850</xdr:colOff>
      <xdr:row>34</xdr:row>
      <xdr:rowOff>210185</xdr:rowOff>
    </xdr:from>
    <xdr:to>
      <xdr:col>11</xdr:col>
      <xdr:colOff>467360</xdr:colOff>
      <xdr:row>35</xdr:row>
      <xdr:rowOff>268605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>
        <a:xfrm>
          <a:off x="3306445" y="11855450"/>
          <a:ext cx="1731010" cy="40132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>
          <a:noAutofit/>
        </a:bodyPr>
        <a:lstStyle/>
        <a:p>
          <a:pPr algn="ctr"/>
          <a:r>
            <a:rPr lang="ko-KR" altLang="en-US" sz="1100" kern="1200">
              <a:solidFill>
                <a:srgbClr val="FFFFFF"/>
              </a:solidFill>
              <a:latin typeface="Calibri"/>
              <a:ea typeface="Calibri"/>
            </a:rPr>
            <a:t>모니터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view="pageBreakPreview" zoomScale="115" zoomScaleNormal="100" zoomScaleSheetLayoutView="115" workbookViewId="0">
      <selection activeCell="K16" sqref="K16"/>
    </sheetView>
  </sheetViews>
  <sheetFormatPr defaultColWidth="8" defaultRowHeight="27" customHeight="1" x14ac:dyDescent="0.3"/>
  <cols>
    <col min="1" max="1" width="4" style="12" customWidth="1"/>
    <col min="2" max="2" width="7.25" style="12" customWidth="1"/>
    <col min="3" max="3" width="4" style="12" customWidth="1"/>
    <col min="4" max="4" width="7.25" style="12" customWidth="1"/>
    <col min="5" max="5" width="4" style="12" customWidth="1"/>
    <col min="6" max="6" width="7.25" style="12" customWidth="1"/>
    <col min="7" max="7" width="4" style="12" customWidth="1"/>
    <col min="8" max="8" width="7.25" style="12" customWidth="1"/>
    <col min="9" max="9" width="4" style="12" customWidth="1"/>
    <col min="10" max="10" width="7.25" style="12" customWidth="1"/>
    <col min="11" max="11" width="4" style="12" customWidth="1"/>
    <col min="12" max="12" width="7.25" style="12" customWidth="1"/>
    <col min="13" max="13" width="4" style="12" customWidth="1"/>
    <col min="14" max="14" width="7.25" style="12" customWidth="1"/>
    <col min="15" max="15" width="3.875" style="12" customWidth="1"/>
    <col min="16" max="16" width="7.25" style="12" customWidth="1"/>
    <col min="17" max="17" width="3.875" style="12" customWidth="1"/>
    <col min="18" max="18" width="7.25" style="12" customWidth="1"/>
    <col min="19" max="19" width="3.875" customWidth="1"/>
    <col min="20" max="20" width="8" style="12" customWidth="1"/>
    <col min="22" max="22" width="8" style="12" customWidth="1"/>
  </cols>
  <sheetData>
    <row r="1" spans="1:20" ht="27" customHeight="1" x14ac:dyDescent="0.3">
      <c r="B1" s="14" t="s">
        <v>72</v>
      </c>
    </row>
    <row r="3" spans="1:20" ht="27" customHeight="1" x14ac:dyDescent="0.3">
      <c r="C3" s="13">
        <v>6</v>
      </c>
      <c r="D3" s="13" t="s">
        <v>93</v>
      </c>
      <c r="G3" s="13">
        <v>7</v>
      </c>
      <c r="H3" s="13" t="s">
        <v>92</v>
      </c>
      <c r="I3" s="13">
        <v>8</v>
      </c>
      <c r="J3" s="13" t="s">
        <v>91</v>
      </c>
      <c r="M3" s="13">
        <v>9</v>
      </c>
      <c r="N3" s="13" t="s">
        <v>90</v>
      </c>
      <c r="O3" s="13">
        <v>10</v>
      </c>
      <c r="P3" s="13" t="s">
        <v>89</v>
      </c>
    </row>
    <row r="5" spans="1:20" ht="27" customHeight="1" x14ac:dyDescent="0.3">
      <c r="A5" s="13">
        <v>5</v>
      </c>
      <c r="B5" s="13" t="s">
        <v>78</v>
      </c>
      <c r="S5" s="13">
        <v>11</v>
      </c>
      <c r="T5" s="13" t="s">
        <v>88</v>
      </c>
    </row>
    <row r="6" spans="1:20" ht="27" customHeight="1" x14ac:dyDescent="0.3">
      <c r="S6" s="12"/>
    </row>
    <row r="7" spans="1:20" ht="27" customHeight="1" x14ac:dyDescent="0.3">
      <c r="A7" s="13">
        <v>4</v>
      </c>
      <c r="B7" s="13" t="s">
        <v>77</v>
      </c>
      <c r="S7" s="13">
        <v>12</v>
      </c>
      <c r="T7" s="13" t="s">
        <v>87</v>
      </c>
    </row>
    <row r="8" spans="1:20" ht="27" customHeight="1" x14ac:dyDescent="0.3">
      <c r="S8" s="12"/>
    </row>
    <row r="9" spans="1:20" ht="27" customHeight="1" x14ac:dyDescent="0.3">
      <c r="A9" s="13">
        <v>3</v>
      </c>
      <c r="B9" s="13" t="s">
        <v>76</v>
      </c>
      <c r="S9" s="13">
        <v>13</v>
      </c>
      <c r="T9" s="13" t="s">
        <v>86</v>
      </c>
    </row>
    <row r="10" spans="1:20" ht="27" customHeight="1" x14ac:dyDescent="0.3">
      <c r="S10" s="12"/>
    </row>
    <row r="11" spans="1:20" ht="27" customHeight="1" x14ac:dyDescent="0.3">
      <c r="A11" s="13">
        <v>2</v>
      </c>
      <c r="B11" s="13" t="s">
        <v>75</v>
      </c>
      <c r="S11" s="13">
        <v>14</v>
      </c>
      <c r="T11" s="13" t="s">
        <v>85</v>
      </c>
    </row>
    <row r="12" spans="1:20" ht="27" customHeight="1" x14ac:dyDescent="0.3">
      <c r="S12" s="12"/>
    </row>
    <row r="13" spans="1:20" ht="27" customHeight="1" x14ac:dyDescent="0.3">
      <c r="A13" s="13">
        <v>1</v>
      </c>
      <c r="B13" s="13" t="s">
        <v>74</v>
      </c>
      <c r="S13" s="13">
        <v>15</v>
      </c>
      <c r="T13" s="13" t="s">
        <v>84</v>
      </c>
    </row>
    <row r="15" spans="1:20" ht="27" customHeight="1" x14ac:dyDescent="0.3">
      <c r="C15" s="13">
        <v>21</v>
      </c>
      <c r="D15" s="13" t="s">
        <v>104</v>
      </c>
      <c r="E15" s="13">
        <v>20</v>
      </c>
      <c r="F15" s="13" t="s">
        <v>79</v>
      </c>
      <c r="G15" s="13">
        <v>19</v>
      </c>
      <c r="H15" s="13" t="s">
        <v>80</v>
      </c>
      <c r="K15" s="13">
        <v>18</v>
      </c>
      <c r="L15" s="13" t="s">
        <v>81</v>
      </c>
      <c r="M15" s="13">
        <v>17</v>
      </c>
      <c r="N15" s="13" t="s">
        <v>82</v>
      </c>
      <c r="Q15" s="13">
        <v>16</v>
      </c>
      <c r="R15" s="13" t="s">
        <v>83</v>
      </c>
    </row>
    <row r="16" spans="1:20" ht="27" customHeight="1" x14ac:dyDescent="0.3">
      <c r="C16" s="15"/>
      <c r="D16" s="15"/>
      <c r="E16" s="15"/>
      <c r="F16" s="15"/>
      <c r="I16" s="15"/>
      <c r="J16" s="15"/>
      <c r="K16" s="15"/>
      <c r="L16" s="15"/>
      <c r="O16" s="15"/>
      <c r="P16" s="15"/>
    </row>
    <row r="18" spans="1:20" ht="27" customHeight="1" x14ac:dyDescent="0.3">
      <c r="B18" s="14" t="s">
        <v>73</v>
      </c>
    </row>
    <row r="20" spans="1:20" ht="27" customHeight="1" x14ac:dyDescent="0.3">
      <c r="C20" s="13">
        <v>5</v>
      </c>
      <c r="D20" s="13" t="s">
        <v>55</v>
      </c>
      <c r="I20" s="13">
        <v>6</v>
      </c>
      <c r="J20" s="13" t="s">
        <v>54</v>
      </c>
      <c r="M20" s="13">
        <v>7</v>
      </c>
      <c r="N20" s="13" t="s">
        <v>58</v>
      </c>
      <c r="O20" s="13">
        <v>8</v>
      </c>
      <c r="P20" s="13" t="s">
        <v>59</v>
      </c>
    </row>
    <row r="21" spans="1:20" ht="27" customHeight="1" x14ac:dyDescent="0.3">
      <c r="S21" s="13">
        <v>9</v>
      </c>
      <c r="T21" s="13" t="s">
        <v>60</v>
      </c>
    </row>
    <row r="23" spans="1:20" ht="27" customHeight="1" x14ac:dyDescent="0.3">
      <c r="S23" s="13">
        <v>10</v>
      </c>
      <c r="T23" s="13" t="s">
        <v>61</v>
      </c>
    </row>
    <row r="24" spans="1:20" ht="27" customHeight="1" x14ac:dyDescent="0.3">
      <c r="A24" s="13">
        <v>4</v>
      </c>
      <c r="B24" s="13" t="s">
        <v>56</v>
      </c>
    </row>
    <row r="25" spans="1:20" ht="27" customHeight="1" x14ac:dyDescent="0.3">
      <c r="S25" s="13">
        <v>11</v>
      </c>
      <c r="T25" s="13" t="s">
        <v>62</v>
      </c>
    </row>
    <row r="26" spans="1:20" ht="27" customHeight="1" x14ac:dyDescent="0.3">
      <c r="A26" s="13">
        <v>3</v>
      </c>
      <c r="B26" s="13" t="s">
        <v>57</v>
      </c>
      <c r="S26" s="12"/>
    </row>
    <row r="27" spans="1:20" ht="27" customHeight="1" x14ac:dyDescent="0.3">
      <c r="S27" s="13">
        <v>12</v>
      </c>
      <c r="T27" s="13" t="s">
        <v>63</v>
      </c>
    </row>
    <row r="28" spans="1:20" ht="27" customHeight="1" x14ac:dyDescent="0.3">
      <c r="A28" s="13">
        <v>2</v>
      </c>
      <c r="B28" s="13" t="s">
        <v>53</v>
      </c>
      <c r="S28" s="12"/>
    </row>
    <row r="29" spans="1:20" ht="27" customHeight="1" x14ac:dyDescent="0.3">
      <c r="S29" s="13">
        <v>13</v>
      </c>
      <c r="T29" s="13" t="s">
        <v>64</v>
      </c>
    </row>
    <row r="30" spans="1:20" ht="27" customHeight="1" x14ac:dyDescent="0.3">
      <c r="A30" s="13">
        <v>1</v>
      </c>
      <c r="B30" s="13" t="s">
        <v>52</v>
      </c>
      <c r="S30" s="12"/>
    </row>
    <row r="32" spans="1:20" ht="27" customHeight="1" x14ac:dyDescent="0.3">
      <c r="C32" s="13">
        <v>20</v>
      </c>
      <c r="D32" s="13" t="s">
        <v>71</v>
      </c>
      <c r="E32" s="13">
        <v>19</v>
      </c>
      <c r="F32" s="13" t="s">
        <v>70</v>
      </c>
      <c r="G32" s="13">
        <v>18</v>
      </c>
      <c r="H32" s="13" t="s">
        <v>69</v>
      </c>
      <c r="I32" s="13">
        <v>17</v>
      </c>
      <c r="J32" s="13" t="s">
        <v>68</v>
      </c>
      <c r="K32" s="13">
        <v>16</v>
      </c>
      <c r="L32" s="13" t="s">
        <v>67</v>
      </c>
      <c r="M32" s="13">
        <v>15</v>
      </c>
      <c r="N32" s="13" t="s">
        <v>66</v>
      </c>
      <c r="Q32" s="13">
        <v>14</v>
      </c>
      <c r="R32" s="13" t="s">
        <v>65</v>
      </c>
    </row>
    <row r="35" spans="1:16" ht="27" customHeight="1" x14ac:dyDescent="0.3">
      <c r="B35" s="14" t="s">
        <v>103</v>
      </c>
    </row>
    <row r="37" spans="1:16" ht="27" customHeight="1" x14ac:dyDescent="0.3">
      <c r="C37" s="13">
        <v>5</v>
      </c>
      <c r="D37" s="13" t="s">
        <v>98</v>
      </c>
      <c r="G37" s="13">
        <v>6</v>
      </c>
      <c r="H37" s="13" t="s">
        <v>99</v>
      </c>
      <c r="K37" s="13">
        <v>7</v>
      </c>
      <c r="L37" s="13" t="s">
        <v>100</v>
      </c>
      <c r="M37" s="13">
        <v>8</v>
      </c>
      <c r="N37" s="13" t="s">
        <v>101</v>
      </c>
      <c r="O37" s="13">
        <v>9</v>
      </c>
      <c r="P37" s="13" t="s">
        <v>102</v>
      </c>
    </row>
    <row r="41" spans="1:16" ht="27" customHeight="1" x14ac:dyDescent="0.3">
      <c r="A41" s="13">
        <v>4</v>
      </c>
      <c r="B41" s="13" t="s">
        <v>97</v>
      </c>
    </row>
    <row r="43" spans="1:16" ht="27" customHeight="1" x14ac:dyDescent="0.3">
      <c r="A43" s="13">
        <v>3</v>
      </c>
      <c r="B43" s="13" t="s">
        <v>96</v>
      </c>
    </row>
    <row r="45" spans="1:16" ht="27" customHeight="1" x14ac:dyDescent="0.3">
      <c r="A45" s="13">
        <v>2</v>
      </c>
      <c r="B45" s="13" t="s">
        <v>95</v>
      </c>
    </row>
    <row r="47" spans="1:16" ht="27" customHeight="1" x14ac:dyDescent="0.3">
      <c r="A47" s="13">
        <v>1</v>
      </c>
      <c r="B47" s="13" t="s">
        <v>94</v>
      </c>
    </row>
  </sheetData>
  <phoneticPr fontId="1" type="noConversion"/>
  <pageMargins left="0.71" right="0.71" top="0.75" bottom="0.75" header="0.31" footer="0.31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40"/>
  <sheetViews>
    <sheetView tabSelected="1" topLeftCell="E1" zoomScale="55" zoomScaleNormal="55" workbookViewId="0">
      <selection activeCell="Q16" sqref="Q16"/>
    </sheetView>
  </sheetViews>
  <sheetFormatPr defaultRowHeight="16.5" x14ac:dyDescent="0.3"/>
  <cols>
    <col min="1" max="1" width="3.25" customWidth="1"/>
    <col min="2" max="2" width="18.375" customWidth="1"/>
    <col min="3" max="4" width="20.625" style="4" customWidth="1"/>
    <col min="5" max="7" width="20.625" style="3" customWidth="1"/>
    <col min="8" max="8" width="20.625" style="5" customWidth="1"/>
    <col min="9" max="11" width="20.625" style="3" customWidth="1"/>
    <col min="12" max="12" width="20.625" style="5" customWidth="1"/>
    <col min="13" max="13" width="20.625" style="3" customWidth="1"/>
    <col min="14" max="14" width="20.625" style="5" customWidth="1"/>
    <col min="15" max="15" width="20.625" style="3" customWidth="1"/>
    <col min="16" max="16" width="20.625" style="5" customWidth="1"/>
    <col min="17" max="18" width="20.625" style="4" customWidth="1"/>
  </cols>
  <sheetData>
    <row r="1" spans="2:18" ht="17.25" customHeight="1" x14ac:dyDescent="0.3"/>
    <row r="2" spans="2:18" ht="36.75" customHeight="1" x14ac:dyDescent="0.3">
      <c r="B2" s="18"/>
      <c r="C2" s="43" t="s">
        <v>48</v>
      </c>
      <c r="D2" s="43"/>
      <c r="E2" s="43" t="s">
        <v>49</v>
      </c>
      <c r="F2" s="43"/>
      <c r="G2" s="43"/>
      <c r="H2" s="43"/>
      <c r="I2" s="43" t="s">
        <v>118</v>
      </c>
      <c r="J2" s="43"/>
      <c r="K2" s="43"/>
      <c r="L2" s="43"/>
      <c r="M2" s="43" t="s">
        <v>119</v>
      </c>
      <c r="N2" s="43"/>
      <c r="O2" s="43" t="s">
        <v>106</v>
      </c>
      <c r="P2" s="43"/>
      <c r="Q2" s="43" t="s">
        <v>107</v>
      </c>
      <c r="R2" s="43"/>
    </row>
    <row r="3" spans="2:18" s="10" customFormat="1" ht="81" customHeight="1" x14ac:dyDescent="0.3">
      <c r="B3" s="19" t="s">
        <v>51</v>
      </c>
      <c r="C3" s="47" t="s">
        <v>112</v>
      </c>
      <c r="D3" s="44"/>
      <c r="E3" s="44" t="s">
        <v>113</v>
      </c>
      <c r="F3" s="44"/>
      <c r="G3" s="44"/>
      <c r="H3" s="44"/>
      <c r="I3" s="44" t="s">
        <v>120</v>
      </c>
      <c r="J3" s="44"/>
      <c r="K3" s="44"/>
      <c r="L3" s="44"/>
      <c r="M3" s="44" t="s">
        <v>114</v>
      </c>
      <c r="N3" s="44"/>
      <c r="O3" s="44" t="s">
        <v>115</v>
      </c>
      <c r="P3" s="44"/>
      <c r="Q3" s="44" t="s">
        <v>116</v>
      </c>
      <c r="R3" s="44"/>
    </row>
    <row r="4" spans="2:18" s="10" customFormat="1" ht="39" customHeight="1" x14ac:dyDescent="0.3">
      <c r="B4" s="19" t="s">
        <v>50</v>
      </c>
      <c r="C4" s="48" t="s">
        <v>45</v>
      </c>
      <c r="D4" s="49"/>
      <c r="E4" s="48" t="s">
        <v>108</v>
      </c>
      <c r="F4" s="45"/>
      <c r="G4" s="45"/>
      <c r="H4" s="49"/>
      <c r="I4" s="48" t="s">
        <v>108</v>
      </c>
      <c r="J4" s="45"/>
      <c r="K4" s="45"/>
      <c r="L4" s="49"/>
      <c r="M4" s="45" t="s">
        <v>109</v>
      </c>
      <c r="N4" s="45"/>
      <c r="O4" s="48" t="s">
        <v>110</v>
      </c>
      <c r="P4" s="49"/>
      <c r="Q4" s="48" t="s">
        <v>111</v>
      </c>
      <c r="R4" s="49"/>
    </row>
    <row r="5" spans="2:18" s="10" customFormat="1" ht="39" customHeight="1" x14ac:dyDescent="0.3">
      <c r="B5" s="40"/>
      <c r="C5" s="35"/>
      <c r="D5" s="37"/>
      <c r="E5" s="42" t="s">
        <v>132</v>
      </c>
      <c r="F5" s="42"/>
      <c r="G5" s="42" t="s">
        <v>133</v>
      </c>
      <c r="H5" s="42"/>
      <c r="I5" s="42" t="s">
        <v>132</v>
      </c>
      <c r="J5" s="42"/>
      <c r="K5" s="42" t="s">
        <v>133</v>
      </c>
      <c r="L5" s="42"/>
      <c r="M5" s="36"/>
      <c r="N5" s="36"/>
      <c r="O5" s="35"/>
      <c r="P5" s="37"/>
      <c r="Q5" s="35"/>
      <c r="R5" s="37"/>
    </row>
    <row r="6" spans="2:18" s="11" customFormat="1" ht="23.25" customHeight="1" x14ac:dyDescent="0.3">
      <c r="B6" s="46" t="s">
        <v>105</v>
      </c>
      <c r="C6" s="20" t="s">
        <v>0</v>
      </c>
      <c r="D6" s="21" t="s">
        <v>1</v>
      </c>
      <c r="E6" s="22" t="s">
        <v>0</v>
      </c>
      <c r="F6" s="23" t="s">
        <v>1</v>
      </c>
      <c r="G6" s="22" t="s">
        <v>0</v>
      </c>
      <c r="H6" s="23" t="s">
        <v>1</v>
      </c>
      <c r="I6" s="22" t="s">
        <v>0</v>
      </c>
      <c r="J6" s="23" t="s">
        <v>1</v>
      </c>
      <c r="K6" s="22" t="s">
        <v>0</v>
      </c>
      <c r="L6" s="23" t="s">
        <v>1</v>
      </c>
      <c r="M6" s="22" t="s">
        <v>0</v>
      </c>
      <c r="N6" s="23" t="s">
        <v>1</v>
      </c>
      <c r="O6" s="22" t="s">
        <v>0</v>
      </c>
      <c r="P6" s="23" t="s">
        <v>1</v>
      </c>
      <c r="Q6" s="20" t="s">
        <v>0</v>
      </c>
      <c r="R6" s="21" t="s">
        <v>1</v>
      </c>
    </row>
    <row r="7" spans="2:18" s="10" customFormat="1" ht="39.950000000000003" customHeight="1" x14ac:dyDescent="0.3">
      <c r="B7" s="46"/>
      <c r="C7" s="20">
        <v>4000</v>
      </c>
      <c r="D7" s="21">
        <v>4050</v>
      </c>
      <c r="E7" s="24">
        <v>4000</v>
      </c>
      <c r="F7" s="21">
        <v>4050</v>
      </c>
      <c r="G7" s="24">
        <v>4100</v>
      </c>
      <c r="H7" s="21">
        <v>4150</v>
      </c>
      <c r="I7" s="24">
        <v>4200</v>
      </c>
      <c r="J7" s="21">
        <v>4250</v>
      </c>
      <c r="K7" s="24">
        <v>4300</v>
      </c>
      <c r="L7" s="21">
        <v>4350</v>
      </c>
      <c r="M7" s="24">
        <v>4000</v>
      </c>
      <c r="N7" s="21">
        <v>4050</v>
      </c>
      <c r="O7" s="24">
        <v>4000</v>
      </c>
      <c r="P7" s="21">
        <v>4050</v>
      </c>
      <c r="Q7" s="24">
        <v>4000</v>
      </c>
      <c r="R7" s="21">
        <v>4050</v>
      </c>
    </row>
    <row r="8" spans="2:18" s="10" customFormat="1" ht="80.099999999999994" customHeight="1" x14ac:dyDescent="0.3">
      <c r="B8" s="46"/>
      <c r="C8" s="25" t="s">
        <v>127</v>
      </c>
      <c r="D8" s="26" t="s">
        <v>124</v>
      </c>
      <c r="E8" s="25" t="s">
        <v>127</v>
      </c>
      <c r="F8" s="26" t="s">
        <v>124</v>
      </c>
      <c r="G8" s="25" t="s">
        <v>127</v>
      </c>
      <c r="H8" s="26" t="s">
        <v>124</v>
      </c>
      <c r="I8" s="25" t="s">
        <v>127</v>
      </c>
      <c r="J8" s="26" t="s">
        <v>124</v>
      </c>
      <c r="K8" s="25" t="s">
        <v>127</v>
      </c>
      <c r="L8" s="26" t="s">
        <v>124</v>
      </c>
      <c r="M8" s="25" t="s">
        <v>127</v>
      </c>
      <c r="N8" s="26" t="s">
        <v>124</v>
      </c>
      <c r="O8" s="25" t="s">
        <v>127</v>
      </c>
      <c r="P8" s="39" t="s">
        <v>126</v>
      </c>
      <c r="Q8" s="25" t="s">
        <v>127</v>
      </c>
      <c r="R8" s="26" t="s">
        <v>124</v>
      </c>
    </row>
    <row r="9" spans="2:18" s="10" customFormat="1" ht="39.950000000000003" customHeight="1" x14ac:dyDescent="0.3">
      <c r="B9" s="46"/>
      <c r="C9" s="20">
        <f t="shared" ref="C9:G9" si="0">SUM(C7+1)</f>
        <v>4001</v>
      </c>
      <c r="D9" s="21">
        <f t="shared" si="0"/>
        <v>4051</v>
      </c>
      <c r="E9" s="24">
        <f t="shared" si="0"/>
        <v>4001</v>
      </c>
      <c r="F9" s="21">
        <f>SUM(F7+1)</f>
        <v>4051</v>
      </c>
      <c r="G9" s="24">
        <f t="shared" si="0"/>
        <v>4101</v>
      </c>
      <c r="H9" s="21">
        <f>SUM(H7+1)</f>
        <v>4151</v>
      </c>
      <c r="I9" s="24">
        <f t="shared" ref="I9" si="1">SUM(I7+1)</f>
        <v>4201</v>
      </c>
      <c r="J9" s="21">
        <f>SUM(J7+1)</f>
        <v>4251</v>
      </c>
      <c r="K9" s="24">
        <f t="shared" ref="K9" si="2">SUM(K7+1)</f>
        <v>4301</v>
      </c>
      <c r="L9" s="21">
        <f>SUM(L7+1)</f>
        <v>4351</v>
      </c>
      <c r="M9" s="24">
        <f t="shared" ref="M9:O9" si="3">SUM(M7+1)</f>
        <v>4001</v>
      </c>
      <c r="N9" s="21">
        <f>SUM(N7+1)</f>
        <v>4051</v>
      </c>
      <c r="O9" s="24">
        <f t="shared" si="3"/>
        <v>4001</v>
      </c>
      <c r="P9" s="38">
        <v>1</v>
      </c>
      <c r="Q9" s="24">
        <f t="shared" ref="Q9" si="4">SUM(Q7+1)</f>
        <v>4001</v>
      </c>
      <c r="R9" s="21">
        <f>SUM(R7+1)</f>
        <v>4051</v>
      </c>
    </row>
    <row r="10" spans="2:18" s="10" customFormat="1" ht="80.099999999999994" customHeight="1" x14ac:dyDescent="0.3">
      <c r="B10" s="46"/>
      <c r="C10" s="17" t="s">
        <v>126</v>
      </c>
      <c r="D10" s="16" t="s">
        <v>117</v>
      </c>
      <c r="E10" s="17" t="s">
        <v>126</v>
      </c>
      <c r="F10" s="16" t="s">
        <v>117</v>
      </c>
      <c r="G10" s="25" t="s">
        <v>127</v>
      </c>
      <c r="H10" s="16" t="s">
        <v>117</v>
      </c>
      <c r="I10" s="17" t="s">
        <v>126</v>
      </c>
      <c r="J10" s="16" t="s">
        <v>117</v>
      </c>
      <c r="K10" s="25" t="s">
        <v>127</v>
      </c>
      <c r="L10" s="16" t="s">
        <v>117</v>
      </c>
      <c r="M10" s="17" t="s">
        <v>126</v>
      </c>
      <c r="N10" s="16" t="s">
        <v>117</v>
      </c>
      <c r="O10" s="17" t="s">
        <v>144</v>
      </c>
      <c r="P10" s="39"/>
      <c r="Q10" s="17" t="s">
        <v>126</v>
      </c>
      <c r="R10" s="16" t="s">
        <v>117</v>
      </c>
    </row>
    <row r="11" spans="2:18" s="10" customFormat="1" ht="39.950000000000003" customHeight="1" x14ac:dyDescent="0.3">
      <c r="B11" s="46"/>
      <c r="C11" s="20">
        <f t="shared" ref="C11:G11" si="5">SUM(C9+1)</f>
        <v>4002</v>
      </c>
      <c r="D11" s="21">
        <f t="shared" si="5"/>
        <v>4052</v>
      </c>
      <c r="E11" s="24">
        <f t="shared" si="5"/>
        <v>4002</v>
      </c>
      <c r="F11" s="21">
        <f>SUM(F9+1)</f>
        <v>4052</v>
      </c>
      <c r="G11" s="24">
        <f t="shared" si="5"/>
        <v>4102</v>
      </c>
      <c r="H11" s="21">
        <f>SUM(H9+1)</f>
        <v>4152</v>
      </c>
      <c r="I11" s="24">
        <f t="shared" ref="I11" si="6">SUM(I9+1)</f>
        <v>4202</v>
      </c>
      <c r="J11" s="21">
        <f>SUM(J9+1)</f>
        <v>4252</v>
      </c>
      <c r="K11" s="24">
        <f t="shared" ref="K11" si="7">SUM(K9+1)</f>
        <v>4302</v>
      </c>
      <c r="L11" s="21">
        <f>SUM(L9+1)</f>
        <v>4352</v>
      </c>
      <c r="M11" s="24">
        <f t="shared" ref="M11:O11" si="8">SUM(M9+1)</f>
        <v>4002</v>
      </c>
      <c r="N11" s="21">
        <f>SUM(N9+1)</f>
        <v>4052</v>
      </c>
      <c r="O11" s="24">
        <f t="shared" si="8"/>
        <v>4002</v>
      </c>
      <c r="P11" s="38">
        <v>2</v>
      </c>
      <c r="Q11" s="41">
        <f t="shared" ref="Q11" si="9">SUM(Q9+1)</f>
        <v>4002</v>
      </c>
      <c r="R11" s="21">
        <f>SUM(R9+1)</f>
        <v>4052</v>
      </c>
    </row>
    <row r="12" spans="2:18" s="10" customFormat="1" ht="113.25" customHeight="1" x14ac:dyDescent="0.3">
      <c r="B12" s="46"/>
      <c r="C12" s="17" t="s">
        <v>128</v>
      </c>
      <c r="D12" s="16" t="s">
        <v>131</v>
      </c>
      <c r="E12" s="17" t="s">
        <v>128</v>
      </c>
      <c r="F12" s="16" t="s">
        <v>131</v>
      </c>
      <c r="G12" s="17" t="s">
        <v>128</v>
      </c>
      <c r="H12" s="16" t="s">
        <v>131</v>
      </c>
      <c r="I12" s="17" t="s">
        <v>128</v>
      </c>
      <c r="J12" s="16" t="s">
        <v>131</v>
      </c>
      <c r="K12" s="17" t="s">
        <v>128</v>
      </c>
      <c r="L12" s="16" t="s">
        <v>131</v>
      </c>
      <c r="M12" s="17" t="s">
        <v>134</v>
      </c>
      <c r="N12" s="16" t="s">
        <v>131</v>
      </c>
      <c r="O12" s="17"/>
      <c r="P12" s="39"/>
      <c r="Q12" s="30" t="s">
        <v>141</v>
      </c>
      <c r="R12" s="16" t="s">
        <v>131</v>
      </c>
    </row>
    <row r="13" spans="2:18" s="10" customFormat="1" ht="39.950000000000003" customHeight="1" x14ac:dyDescent="0.3">
      <c r="B13" s="46"/>
      <c r="C13" s="20">
        <f t="shared" ref="C13:G13" si="10">SUM(C11+1)</f>
        <v>4003</v>
      </c>
      <c r="D13" s="21">
        <f t="shared" si="10"/>
        <v>4053</v>
      </c>
      <c r="E13" s="24">
        <f t="shared" si="10"/>
        <v>4003</v>
      </c>
      <c r="F13" s="21">
        <f>SUM(F11+1)</f>
        <v>4053</v>
      </c>
      <c r="G13" s="24">
        <f t="shared" si="10"/>
        <v>4103</v>
      </c>
      <c r="H13" s="21">
        <f>SUM(H11+1)</f>
        <v>4153</v>
      </c>
      <c r="I13" s="24">
        <f t="shared" ref="I13" si="11">SUM(I11+1)</f>
        <v>4203</v>
      </c>
      <c r="J13" s="21">
        <f>SUM(J11+1)</f>
        <v>4253</v>
      </c>
      <c r="K13" s="24">
        <f t="shared" ref="K13" si="12">SUM(K11+1)</f>
        <v>4303</v>
      </c>
      <c r="L13" s="21">
        <f>SUM(L11+1)</f>
        <v>4353</v>
      </c>
      <c r="M13" s="24">
        <f t="shared" ref="M13" si="13">SUM(M11+1)</f>
        <v>4003</v>
      </c>
      <c r="N13" s="21">
        <f>SUM(N11+1)</f>
        <v>4053</v>
      </c>
      <c r="O13" s="24">
        <v>3</v>
      </c>
      <c r="P13" s="21">
        <v>3</v>
      </c>
      <c r="Q13" s="41">
        <f>SUM(Q11+1)</f>
        <v>4003</v>
      </c>
      <c r="R13" s="21">
        <f>SUM(R11+1)</f>
        <v>4053</v>
      </c>
    </row>
    <row r="14" spans="2:18" s="10" customFormat="1" ht="60" customHeight="1" x14ac:dyDescent="0.3">
      <c r="B14" s="46"/>
      <c r="C14" s="17" t="s">
        <v>130</v>
      </c>
      <c r="D14" s="16" t="s">
        <v>121</v>
      </c>
      <c r="E14" s="27"/>
      <c r="F14" s="16" t="s">
        <v>121</v>
      </c>
      <c r="G14" s="27"/>
      <c r="H14" s="16" t="s">
        <v>121</v>
      </c>
      <c r="I14" s="27"/>
      <c r="J14" s="16" t="s">
        <v>121</v>
      </c>
      <c r="K14" s="27"/>
      <c r="L14" s="16" t="s">
        <v>121</v>
      </c>
      <c r="M14" s="17" t="s">
        <v>137</v>
      </c>
      <c r="N14" s="16" t="s">
        <v>121</v>
      </c>
      <c r="O14" s="30"/>
      <c r="P14" s="16"/>
      <c r="Q14" s="30" t="s">
        <v>140</v>
      </c>
      <c r="R14" s="16" t="s">
        <v>121</v>
      </c>
    </row>
    <row r="15" spans="2:18" s="10" customFormat="1" ht="39.950000000000003" customHeight="1" x14ac:dyDescent="0.3">
      <c r="B15" s="46"/>
      <c r="C15" s="20">
        <f t="shared" ref="C15:M15" si="14">SUM(C13+1)</f>
        <v>4004</v>
      </c>
      <c r="D15" s="21">
        <f t="shared" si="14"/>
        <v>4054</v>
      </c>
      <c r="E15" s="24">
        <f t="shared" si="14"/>
        <v>4004</v>
      </c>
      <c r="F15" s="21">
        <f>SUM(F13+1)</f>
        <v>4054</v>
      </c>
      <c r="G15" s="24">
        <f t="shared" si="14"/>
        <v>4104</v>
      </c>
      <c r="H15" s="21">
        <f>SUM(H13+1)</f>
        <v>4154</v>
      </c>
      <c r="I15" s="24">
        <f t="shared" ref="I15" si="15">SUM(I13+1)</f>
        <v>4204</v>
      </c>
      <c r="J15" s="21">
        <f>SUM(J13+1)</f>
        <v>4254</v>
      </c>
      <c r="K15" s="24">
        <f t="shared" ref="K15" si="16">SUM(K13+1)</f>
        <v>4304</v>
      </c>
      <c r="L15" s="21">
        <f>SUM(L13+1)</f>
        <v>4354</v>
      </c>
      <c r="M15" s="24">
        <f t="shared" si="14"/>
        <v>4004</v>
      </c>
      <c r="N15" s="21">
        <f>SUM(N13+1)</f>
        <v>4054</v>
      </c>
      <c r="O15" s="24">
        <v>4</v>
      </c>
      <c r="P15" s="21">
        <v>4</v>
      </c>
      <c r="Q15" s="41">
        <f>SUM(Q13+1)</f>
        <v>4004</v>
      </c>
      <c r="R15" s="21">
        <f>SUM(R13+1)</f>
        <v>4054</v>
      </c>
    </row>
    <row r="16" spans="2:18" s="10" customFormat="1" ht="60" customHeight="1" x14ac:dyDescent="0.3">
      <c r="B16" s="46"/>
      <c r="C16" s="17"/>
      <c r="D16" s="16" t="s">
        <v>122</v>
      </c>
      <c r="E16" s="27"/>
      <c r="F16" s="16" t="s">
        <v>122</v>
      </c>
      <c r="G16" s="27"/>
      <c r="H16" s="16" t="s">
        <v>122</v>
      </c>
      <c r="I16" s="27"/>
      <c r="J16" s="16" t="s">
        <v>122</v>
      </c>
      <c r="K16" s="27"/>
      <c r="L16" s="16" t="s">
        <v>122</v>
      </c>
      <c r="M16" s="17" t="s">
        <v>138</v>
      </c>
      <c r="N16" s="16" t="s">
        <v>122</v>
      </c>
      <c r="O16" s="27"/>
      <c r="P16" s="16"/>
      <c r="Q16" s="30" t="s">
        <v>145</v>
      </c>
      <c r="R16" s="16" t="s">
        <v>122</v>
      </c>
    </row>
    <row r="17" spans="2:18" s="10" customFormat="1" ht="39.950000000000003" customHeight="1" x14ac:dyDescent="0.3">
      <c r="B17" s="46"/>
      <c r="C17" s="24">
        <f t="shared" ref="C17:M17" si="17">SUM(C15+1)</f>
        <v>4005</v>
      </c>
      <c r="D17" s="21">
        <f t="shared" si="17"/>
        <v>4055</v>
      </c>
      <c r="E17" s="24">
        <f t="shared" si="17"/>
        <v>4005</v>
      </c>
      <c r="F17" s="21">
        <f>SUM(F15+1)</f>
        <v>4055</v>
      </c>
      <c r="G17" s="24">
        <f t="shared" si="17"/>
        <v>4105</v>
      </c>
      <c r="H17" s="21">
        <f>SUM(H15+1)</f>
        <v>4155</v>
      </c>
      <c r="I17" s="24">
        <f t="shared" ref="I17" si="18">SUM(I15+1)</f>
        <v>4205</v>
      </c>
      <c r="J17" s="21">
        <f>SUM(J15+1)</f>
        <v>4255</v>
      </c>
      <c r="K17" s="24">
        <f t="shared" ref="K17" si="19">SUM(K15+1)</f>
        <v>4305</v>
      </c>
      <c r="L17" s="21">
        <f>SUM(L15+1)</f>
        <v>4355</v>
      </c>
      <c r="M17" s="24">
        <f t="shared" si="17"/>
        <v>4005</v>
      </c>
      <c r="N17" s="21">
        <f>SUM(N15+1)</f>
        <v>4055</v>
      </c>
      <c r="O17" s="24">
        <v>5</v>
      </c>
      <c r="P17" s="21">
        <v>5</v>
      </c>
      <c r="Q17" s="24">
        <f>SUM(Q15+1)</f>
        <v>4005</v>
      </c>
      <c r="R17" s="21">
        <f>SUM(R15+1)</f>
        <v>4055</v>
      </c>
    </row>
    <row r="18" spans="2:18" s="10" customFormat="1" ht="60" customHeight="1" x14ac:dyDescent="0.3">
      <c r="B18" s="46"/>
      <c r="C18" s="27"/>
      <c r="D18" s="16" t="s">
        <v>123</v>
      </c>
      <c r="E18" s="27"/>
      <c r="F18" s="16" t="s">
        <v>123</v>
      </c>
      <c r="G18" s="27"/>
      <c r="H18" s="16" t="s">
        <v>123</v>
      </c>
      <c r="I18" s="27"/>
      <c r="J18" s="16" t="s">
        <v>123</v>
      </c>
      <c r="K18" s="27"/>
      <c r="L18" s="16" t="s">
        <v>123</v>
      </c>
      <c r="M18" s="27"/>
      <c r="N18" s="16" t="s">
        <v>123</v>
      </c>
      <c r="O18" s="30"/>
      <c r="P18" s="30"/>
      <c r="Q18" s="27"/>
      <c r="R18" s="16" t="s">
        <v>123</v>
      </c>
    </row>
    <row r="19" spans="2:18" s="10" customFormat="1" ht="39.950000000000003" customHeight="1" x14ac:dyDescent="0.3">
      <c r="B19" s="46"/>
      <c r="C19" s="24">
        <f t="shared" ref="C19:M19" si="20">SUM(C17+1)</f>
        <v>4006</v>
      </c>
      <c r="D19" s="21">
        <f t="shared" si="20"/>
        <v>4056</v>
      </c>
      <c r="E19" s="24">
        <f t="shared" si="20"/>
        <v>4006</v>
      </c>
      <c r="F19" s="21">
        <f>SUM(F17+1)</f>
        <v>4056</v>
      </c>
      <c r="G19" s="24">
        <f t="shared" si="20"/>
        <v>4106</v>
      </c>
      <c r="H19" s="21">
        <f>SUM(H17+1)</f>
        <v>4156</v>
      </c>
      <c r="I19" s="24">
        <f t="shared" ref="I19" si="21">SUM(I17+1)</f>
        <v>4206</v>
      </c>
      <c r="J19" s="21">
        <f>SUM(J17+1)</f>
        <v>4256</v>
      </c>
      <c r="K19" s="24">
        <f t="shared" ref="K19" si="22">SUM(K17+1)</f>
        <v>4306</v>
      </c>
      <c r="L19" s="21">
        <f>SUM(L17+1)</f>
        <v>4356</v>
      </c>
      <c r="M19" s="24">
        <f t="shared" si="20"/>
        <v>4006</v>
      </c>
      <c r="N19" s="21">
        <f>SUM(N17+1)</f>
        <v>4056</v>
      </c>
      <c r="O19" s="31">
        <v>6</v>
      </c>
      <c r="P19" s="31">
        <v>6</v>
      </c>
      <c r="Q19" s="24">
        <f>SUM(Q17+1)</f>
        <v>4006</v>
      </c>
      <c r="R19" s="21">
        <f>SUM(R17+1)</f>
        <v>4056</v>
      </c>
    </row>
    <row r="20" spans="2:18" s="10" customFormat="1" ht="78" customHeight="1" x14ac:dyDescent="0.3">
      <c r="B20" s="46"/>
      <c r="C20" s="27"/>
      <c r="D20" s="16" t="s">
        <v>125</v>
      </c>
      <c r="E20" s="27"/>
      <c r="F20" s="16" t="s">
        <v>125</v>
      </c>
      <c r="G20" s="27"/>
      <c r="H20" s="16" t="s">
        <v>125</v>
      </c>
      <c r="I20" s="27"/>
      <c r="J20" s="16" t="s">
        <v>125</v>
      </c>
      <c r="K20" s="27"/>
      <c r="L20" s="16" t="s">
        <v>125</v>
      </c>
      <c r="M20" s="27"/>
      <c r="N20" s="16" t="s">
        <v>125</v>
      </c>
      <c r="O20" s="32"/>
      <c r="P20" s="32"/>
      <c r="Q20" s="27"/>
      <c r="R20" s="16" t="s">
        <v>125</v>
      </c>
    </row>
    <row r="21" spans="2:18" s="10" customFormat="1" ht="39.950000000000003" customHeight="1" x14ac:dyDescent="0.3">
      <c r="B21" s="46"/>
      <c r="C21" s="24">
        <f t="shared" ref="C21:M21" si="23">SUM(C19+1)</f>
        <v>4007</v>
      </c>
      <c r="D21" s="21">
        <f t="shared" si="23"/>
        <v>4057</v>
      </c>
      <c r="E21" s="24">
        <f t="shared" si="23"/>
        <v>4007</v>
      </c>
      <c r="F21" s="21">
        <f>SUM(F19+1)</f>
        <v>4057</v>
      </c>
      <c r="G21" s="24">
        <f t="shared" si="23"/>
        <v>4107</v>
      </c>
      <c r="H21" s="21">
        <f>SUM(H19+1)</f>
        <v>4157</v>
      </c>
      <c r="I21" s="24">
        <f t="shared" ref="I21" si="24">SUM(I19+1)</f>
        <v>4207</v>
      </c>
      <c r="J21" s="21">
        <f>SUM(J19+1)</f>
        <v>4257</v>
      </c>
      <c r="K21" s="24">
        <f t="shared" ref="K21" si="25">SUM(K19+1)</f>
        <v>4307</v>
      </c>
      <c r="L21" s="21">
        <f>SUM(L19+1)</f>
        <v>4357</v>
      </c>
      <c r="M21" s="24">
        <f t="shared" si="23"/>
        <v>4007</v>
      </c>
      <c r="N21" s="21">
        <f>SUM(N19+1)</f>
        <v>4057</v>
      </c>
      <c r="O21" s="31">
        <v>7</v>
      </c>
      <c r="P21" s="31">
        <v>7</v>
      </c>
      <c r="Q21" s="24">
        <f>SUM(Q19+1)</f>
        <v>4007</v>
      </c>
      <c r="R21" s="41">
        <f>SUM(R19+1)</f>
        <v>4057</v>
      </c>
    </row>
    <row r="22" spans="2:18" s="10" customFormat="1" ht="151.5" customHeight="1" x14ac:dyDescent="0.3">
      <c r="B22" s="46"/>
      <c r="C22" s="27"/>
      <c r="D22" s="16" t="s">
        <v>129</v>
      </c>
      <c r="E22" s="27"/>
      <c r="F22" s="16" t="s">
        <v>129</v>
      </c>
      <c r="G22" s="27"/>
      <c r="H22" s="16" t="s">
        <v>129</v>
      </c>
      <c r="I22" s="27"/>
      <c r="J22" s="16" t="s">
        <v>129</v>
      </c>
      <c r="K22" s="27"/>
      <c r="L22" s="16" t="s">
        <v>129</v>
      </c>
      <c r="M22" s="27"/>
      <c r="N22" s="16" t="s">
        <v>129</v>
      </c>
      <c r="O22" s="32"/>
      <c r="P22" s="32"/>
      <c r="Q22" s="27"/>
      <c r="R22" s="30" t="s">
        <v>142</v>
      </c>
    </row>
    <row r="23" spans="2:18" s="10" customFormat="1" ht="39.950000000000003" customHeight="1" x14ac:dyDescent="0.3">
      <c r="B23" s="46"/>
      <c r="C23" s="24">
        <f t="shared" ref="C23:N23" si="26">SUM(C21+1)</f>
        <v>4008</v>
      </c>
      <c r="D23" s="21">
        <f t="shared" si="26"/>
        <v>4058</v>
      </c>
      <c r="E23" s="24">
        <f t="shared" si="26"/>
        <v>4008</v>
      </c>
      <c r="F23" s="21">
        <f>SUM(F21+1)</f>
        <v>4058</v>
      </c>
      <c r="G23" s="24">
        <f t="shared" si="26"/>
        <v>4108</v>
      </c>
      <c r="H23" s="21">
        <f>SUM(H21+1)</f>
        <v>4158</v>
      </c>
      <c r="I23" s="24">
        <f t="shared" ref="I23" si="27">SUM(I21+1)</f>
        <v>4208</v>
      </c>
      <c r="J23" s="21">
        <f>SUM(J21+1)</f>
        <v>4258</v>
      </c>
      <c r="K23" s="24">
        <f t="shared" ref="K23" si="28">SUM(K21+1)</f>
        <v>4308</v>
      </c>
      <c r="L23" s="21">
        <f>SUM(L21+1)</f>
        <v>4358</v>
      </c>
      <c r="M23" s="24">
        <f t="shared" si="26"/>
        <v>4008</v>
      </c>
      <c r="N23" s="41">
        <f t="shared" si="26"/>
        <v>4058</v>
      </c>
      <c r="O23" s="31">
        <v>8</v>
      </c>
      <c r="P23" s="21">
        <v>8</v>
      </c>
      <c r="Q23" s="24">
        <f>SUM(Q21+1)</f>
        <v>4008</v>
      </c>
      <c r="R23" s="41">
        <f>SUM(R21+1)</f>
        <v>4058</v>
      </c>
    </row>
    <row r="24" spans="2:18" s="10" customFormat="1" ht="60" customHeight="1" x14ac:dyDescent="0.3">
      <c r="B24" s="46"/>
      <c r="C24" s="27"/>
      <c r="D24" s="16"/>
      <c r="E24" s="27"/>
      <c r="F24" s="16"/>
      <c r="G24" s="27"/>
      <c r="H24" s="16"/>
      <c r="I24" s="27"/>
      <c r="J24" s="16"/>
      <c r="K24" s="27"/>
      <c r="L24" s="16"/>
      <c r="M24" s="27"/>
      <c r="N24" s="30" t="s">
        <v>135</v>
      </c>
      <c r="O24" s="32"/>
      <c r="P24" s="28"/>
      <c r="Q24" s="27"/>
      <c r="R24" s="30" t="s">
        <v>143</v>
      </c>
    </row>
    <row r="25" spans="2:18" s="10" customFormat="1" ht="39.950000000000003" customHeight="1" x14ac:dyDescent="0.3">
      <c r="B25" s="46"/>
      <c r="C25" s="24">
        <f t="shared" ref="C25:N25" si="29">SUM(C23+1)</f>
        <v>4009</v>
      </c>
      <c r="D25" s="29">
        <f t="shared" si="29"/>
        <v>4059</v>
      </c>
      <c r="E25" s="24">
        <f t="shared" si="29"/>
        <v>4009</v>
      </c>
      <c r="F25" s="29">
        <f>SUM(F23+1)</f>
        <v>4059</v>
      </c>
      <c r="G25" s="24">
        <f t="shared" si="29"/>
        <v>4109</v>
      </c>
      <c r="H25" s="29">
        <f>SUM(H23+1)</f>
        <v>4159</v>
      </c>
      <c r="I25" s="24">
        <f t="shared" ref="I25" si="30">SUM(I23+1)</f>
        <v>4209</v>
      </c>
      <c r="J25" s="29">
        <f>SUM(J23+1)</f>
        <v>4259</v>
      </c>
      <c r="K25" s="24">
        <f t="shared" ref="K25" si="31">SUM(K23+1)</f>
        <v>4309</v>
      </c>
      <c r="L25" s="29">
        <f>SUM(L23+1)</f>
        <v>4359</v>
      </c>
      <c r="M25" s="24">
        <f t="shared" si="29"/>
        <v>4009</v>
      </c>
      <c r="N25" s="41">
        <f t="shared" si="29"/>
        <v>4059</v>
      </c>
      <c r="O25" s="31">
        <v>9</v>
      </c>
      <c r="P25" s="29">
        <v>9</v>
      </c>
      <c r="Q25" s="24">
        <f>SUM(Q23+1)</f>
        <v>4009</v>
      </c>
      <c r="R25" s="29">
        <f>SUM(R23+1)</f>
        <v>4059</v>
      </c>
    </row>
    <row r="26" spans="2:18" s="10" customFormat="1" ht="60" customHeight="1" x14ac:dyDescent="0.3">
      <c r="B26" s="46"/>
      <c r="C26" s="27"/>
      <c r="D26" s="28"/>
      <c r="E26" s="27"/>
      <c r="F26" s="28"/>
      <c r="G26" s="27"/>
      <c r="H26" s="28"/>
      <c r="I26" s="27"/>
      <c r="J26" s="28"/>
      <c r="K26" s="27"/>
      <c r="L26" s="28"/>
      <c r="M26" s="27"/>
      <c r="N26" s="30" t="s">
        <v>136</v>
      </c>
      <c r="O26" s="32"/>
      <c r="P26" s="28"/>
      <c r="Q26" s="27"/>
      <c r="R26" s="28"/>
    </row>
    <row r="27" spans="2:18" s="10" customFormat="1" ht="39.950000000000003" customHeight="1" x14ac:dyDescent="0.3">
      <c r="B27" s="46"/>
      <c r="C27" s="24">
        <f t="shared" ref="C27:N27" si="32">SUM(C25+1)</f>
        <v>4010</v>
      </c>
      <c r="D27" s="21">
        <f t="shared" si="32"/>
        <v>4060</v>
      </c>
      <c r="E27" s="24">
        <f t="shared" si="32"/>
        <v>4010</v>
      </c>
      <c r="F27" s="33">
        <f>SUM(F25+1)</f>
        <v>4060</v>
      </c>
      <c r="G27" s="24">
        <f t="shared" si="32"/>
        <v>4110</v>
      </c>
      <c r="H27" s="21">
        <f>SUM(H25+1)</f>
        <v>4160</v>
      </c>
      <c r="I27" s="24">
        <f t="shared" ref="I27" si="33">SUM(I25+1)</f>
        <v>4210</v>
      </c>
      <c r="J27" s="33">
        <f>SUM(J25+1)</f>
        <v>4260</v>
      </c>
      <c r="K27" s="24">
        <f t="shared" ref="K27" si="34">SUM(K25+1)</f>
        <v>4310</v>
      </c>
      <c r="L27" s="21">
        <f>SUM(L25+1)</f>
        <v>4360</v>
      </c>
      <c r="M27" s="20">
        <f t="shared" si="32"/>
        <v>4010</v>
      </c>
      <c r="N27" s="21">
        <f t="shared" si="32"/>
        <v>4060</v>
      </c>
      <c r="O27" s="24">
        <v>10</v>
      </c>
      <c r="P27" s="29">
        <v>10</v>
      </c>
      <c r="Q27" s="24">
        <f>SUM(Q25+1)</f>
        <v>4010</v>
      </c>
      <c r="R27" s="21">
        <f>SUM(R25+1)</f>
        <v>4060</v>
      </c>
    </row>
    <row r="28" spans="2:18" s="10" customFormat="1" ht="60" customHeight="1" x14ac:dyDescent="0.3">
      <c r="B28" s="46"/>
      <c r="C28" s="27"/>
      <c r="D28" s="16"/>
      <c r="E28" s="27"/>
      <c r="F28" s="34"/>
      <c r="G28" s="27"/>
      <c r="H28" s="16"/>
      <c r="I28" s="27"/>
      <c r="J28" s="34"/>
      <c r="K28" s="27"/>
      <c r="L28" s="16"/>
      <c r="M28" s="17"/>
      <c r="N28" s="30" t="s">
        <v>139</v>
      </c>
      <c r="O28" s="27"/>
      <c r="P28" s="16"/>
      <c r="Q28" s="27"/>
      <c r="R28" s="16"/>
    </row>
    <row r="29" spans="2:18" s="10" customFormat="1" ht="39.950000000000003" customHeight="1" x14ac:dyDescent="0.3">
      <c r="B29" s="46"/>
      <c r="C29" s="24">
        <f t="shared" ref="C29:N29" si="35">SUM(C27+1)</f>
        <v>4011</v>
      </c>
      <c r="D29" s="21">
        <f t="shared" si="35"/>
        <v>4061</v>
      </c>
      <c r="E29" s="24">
        <f t="shared" si="35"/>
        <v>4011</v>
      </c>
      <c r="F29" s="21">
        <f>SUM(F27+1)</f>
        <v>4061</v>
      </c>
      <c r="G29" s="24">
        <f t="shared" si="35"/>
        <v>4111</v>
      </c>
      <c r="H29" s="21">
        <f>SUM(H27+1)</f>
        <v>4161</v>
      </c>
      <c r="I29" s="24">
        <f t="shared" ref="I29" si="36">SUM(I27+1)</f>
        <v>4211</v>
      </c>
      <c r="J29" s="21">
        <f>SUM(J27+1)</f>
        <v>4261</v>
      </c>
      <c r="K29" s="24">
        <f t="shared" ref="K29" si="37">SUM(K27+1)</f>
        <v>4311</v>
      </c>
      <c r="L29" s="21">
        <f>SUM(L27+1)</f>
        <v>4361</v>
      </c>
      <c r="M29" s="20">
        <f t="shared" si="35"/>
        <v>4011</v>
      </c>
      <c r="N29" s="21">
        <f t="shared" si="35"/>
        <v>4061</v>
      </c>
      <c r="O29" s="24">
        <v>11</v>
      </c>
      <c r="P29" s="21">
        <v>11</v>
      </c>
      <c r="Q29" s="24">
        <f>SUM(Q27+1)</f>
        <v>4011</v>
      </c>
      <c r="R29" s="21">
        <f>SUM(R27+1)</f>
        <v>4061</v>
      </c>
    </row>
    <row r="30" spans="2:18" s="10" customFormat="1" ht="60" customHeight="1" x14ac:dyDescent="0.3">
      <c r="B30" s="46"/>
      <c r="C30" s="27"/>
      <c r="D30" s="16"/>
      <c r="E30" s="27"/>
      <c r="F30" s="16"/>
      <c r="G30" s="27"/>
      <c r="H30" s="16"/>
      <c r="I30" s="27"/>
      <c r="J30" s="16"/>
      <c r="K30" s="27"/>
      <c r="L30" s="16"/>
      <c r="M30" s="17"/>
      <c r="N30" s="16"/>
      <c r="O30" s="27"/>
      <c r="P30" s="16"/>
      <c r="Q30" s="27"/>
      <c r="R30" s="16"/>
    </row>
    <row r="40" spans="5:9" x14ac:dyDescent="0.3">
      <c r="E40" s="3" t="s">
        <v>2</v>
      </c>
      <c r="I40" s="3" t="s">
        <v>2</v>
      </c>
    </row>
  </sheetData>
  <mergeCells count="23">
    <mergeCell ref="B6:B30"/>
    <mergeCell ref="C3:D3"/>
    <mergeCell ref="O3:P3"/>
    <mergeCell ref="Q3:R3"/>
    <mergeCell ref="O2:P2"/>
    <mergeCell ref="C2:D2"/>
    <mergeCell ref="E2:H2"/>
    <mergeCell ref="M2:N2"/>
    <mergeCell ref="C4:D4"/>
    <mergeCell ref="E4:H4"/>
    <mergeCell ref="I2:L2"/>
    <mergeCell ref="I3:L3"/>
    <mergeCell ref="I4:L4"/>
    <mergeCell ref="O4:P4"/>
    <mergeCell ref="Q4:R4"/>
    <mergeCell ref="I5:J5"/>
    <mergeCell ref="K5:L5"/>
    <mergeCell ref="Q2:R2"/>
    <mergeCell ref="E3:H3"/>
    <mergeCell ref="M3:N3"/>
    <mergeCell ref="E5:F5"/>
    <mergeCell ref="G5:H5"/>
    <mergeCell ref="M4:N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29"/>
  <sheetViews>
    <sheetView workbookViewId="0">
      <selection activeCell="D24" sqref="D24"/>
    </sheetView>
  </sheetViews>
  <sheetFormatPr defaultRowHeight="16.5" x14ac:dyDescent="0.3"/>
  <cols>
    <col min="2" max="2" width="14.375" customWidth="1"/>
    <col min="3" max="3" width="21.25" customWidth="1"/>
    <col min="4" max="4" width="30.625" customWidth="1"/>
    <col min="5" max="5" width="21.25" customWidth="1"/>
    <col min="6" max="6" width="30.625" customWidth="1"/>
    <col min="7" max="7" width="21.25" customWidth="1"/>
    <col min="8" max="8" width="30.625" customWidth="1"/>
    <col min="9" max="9" width="21.25" customWidth="1"/>
    <col min="10" max="10" width="30.625" customWidth="1"/>
    <col min="11" max="11" width="21.25" customWidth="1"/>
    <col min="12" max="12" width="30.625" customWidth="1"/>
    <col min="13" max="13" width="21.25" customWidth="1"/>
  </cols>
  <sheetData>
    <row r="1" spans="2:13" ht="17.25" customHeight="1" x14ac:dyDescent="0.3"/>
    <row r="2" spans="2:13" x14ac:dyDescent="0.3">
      <c r="B2" s="7"/>
      <c r="C2" s="6"/>
      <c r="D2" s="7"/>
      <c r="E2" s="6"/>
      <c r="F2" s="7"/>
      <c r="G2" s="6"/>
      <c r="H2" s="7"/>
      <c r="I2" s="6"/>
      <c r="J2" s="7"/>
      <c r="K2" s="6"/>
      <c r="L2" s="7"/>
      <c r="M2" s="6"/>
    </row>
    <row r="3" spans="2:13" x14ac:dyDescent="0.3">
      <c r="B3" s="8" t="s">
        <v>4</v>
      </c>
      <c r="C3" s="1" t="s">
        <v>5</v>
      </c>
      <c r="D3" s="8" t="s">
        <v>44</v>
      </c>
      <c r="E3" s="1" t="s">
        <v>45</v>
      </c>
      <c r="F3" s="8"/>
      <c r="G3" s="1"/>
      <c r="H3" s="8"/>
      <c r="I3" s="1"/>
      <c r="J3" s="8"/>
      <c r="K3" s="1"/>
      <c r="L3" s="8"/>
      <c r="M3" s="1"/>
    </row>
    <row r="4" spans="2:13" x14ac:dyDescent="0.3">
      <c r="B4" s="8" t="s">
        <v>6</v>
      </c>
      <c r="C4" s="1" t="s">
        <v>7</v>
      </c>
      <c r="D4" s="8" t="s">
        <v>46</v>
      </c>
      <c r="E4" s="1" t="s">
        <v>47</v>
      </c>
      <c r="F4" s="8"/>
      <c r="G4" s="1"/>
      <c r="H4" s="8"/>
      <c r="I4" s="1"/>
      <c r="J4" s="8"/>
      <c r="K4" s="1"/>
      <c r="L4" s="8"/>
      <c r="M4" s="1"/>
    </row>
    <row r="5" spans="2:13" x14ac:dyDescent="0.3">
      <c r="B5" s="8" t="s">
        <v>8</v>
      </c>
      <c r="C5" s="1" t="s">
        <v>9</v>
      </c>
      <c r="D5" s="8"/>
      <c r="E5" s="1"/>
      <c r="F5" s="8"/>
      <c r="G5" s="1"/>
      <c r="H5" s="8"/>
      <c r="I5" s="1"/>
      <c r="J5" s="8"/>
      <c r="K5" s="1"/>
      <c r="L5" s="8"/>
      <c r="M5" s="1"/>
    </row>
    <row r="6" spans="2:13" x14ac:dyDescent="0.3">
      <c r="B6" s="8" t="s">
        <v>10</v>
      </c>
      <c r="C6" s="1" t="s">
        <v>3</v>
      </c>
      <c r="D6" s="8"/>
      <c r="E6" s="1"/>
      <c r="F6" s="8"/>
      <c r="G6" s="1"/>
      <c r="H6" s="8"/>
      <c r="I6" s="1"/>
      <c r="J6" s="8"/>
      <c r="K6" s="1"/>
      <c r="L6" s="8"/>
      <c r="M6" s="1"/>
    </row>
    <row r="7" spans="2:13" x14ac:dyDescent="0.3">
      <c r="B7" s="8" t="s">
        <v>11</v>
      </c>
      <c r="C7" s="1" t="s">
        <v>12</v>
      </c>
      <c r="D7" s="8"/>
      <c r="E7" s="1"/>
      <c r="F7" s="8"/>
      <c r="G7" s="1"/>
      <c r="H7" s="8"/>
      <c r="I7" s="1"/>
      <c r="J7" s="8"/>
      <c r="K7" s="1"/>
      <c r="L7" s="8"/>
      <c r="M7" s="1"/>
    </row>
    <row r="8" spans="2:13" x14ac:dyDescent="0.3">
      <c r="B8" s="8" t="s">
        <v>13</v>
      </c>
      <c r="C8" s="1" t="s">
        <v>28</v>
      </c>
      <c r="D8" s="8"/>
      <c r="E8" s="1"/>
      <c r="F8" s="8"/>
      <c r="G8" s="1"/>
      <c r="H8" s="8"/>
      <c r="I8" s="1"/>
      <c r="J8" s="8"/>
      <c r="K8" s="1"/>
      <c r="L8" s="8"/>
      <c r="M8" s="1"/>
    </row>
    <row r="9" spans="2:13" x14ac:dyDescent="0.3">
      <c r="B9" s="8" t="s">
        <v>14</v>
      </c>
      <c r="C9" s="1" t="s">
        <v>29</v>
      </c>
      <c r="D9" s="8"/>
      <c r="E9" s="1"/>
      <c r="F9" s="8"/>
      <c r="G9" s="1"/>
      <c r="H9" s="8"/>
      <c r="I9" s="1"/>
      <c r="J9" s="8"/>
      <c r="K9" s="1"/>
      <c r="L9" s="8"/>
      <c r="M9" s="1"/>
    </row>
    <row r="10" spans="2:13" x14ac:dyDescent="0.3">
      <c r="B10" s="8" t="s">
        <v>15</v>
      </c>
      <c r="C10" s="1" t="s">
        <v>30</v>
      </c>
      <c r="D10" s="8"/>
      <c r="E10" s="1"/>
      <c r="F10" s="8"/>
      <c r="G10" s="1"/>
      <c r="H10" s="8"/>
      <c r="I10" s="1"/>
      <c r="J10" s="8"/>
      <c r="K10" s="1"/>
      <c r="L10" s="8"/>
      <c r="M10" s="1"/>
    </row>
    <row r="11" spans="2:13" x14ac:dyDescent="0.3">
      <c r="B11" s="8" t="s">
        <v>16</v>
      </c>
      <c r="C11" s="1" t="s">
        <v>31</v>
      </c>
      <c r="D11" s="8"/>
      <c r="E11" s="1"/>
      <c r="F11" s="8"/>
      <c r="G11" s="1"/>
      <c r="H11" s="8"/>
      <c r="I11" s="1"/>
      <c r="J11" s="8"/>
      <c r="K11" s="1"/>
      <c r="L11" s="8"/>
      <c r="M11" s="1"/>
    </row>
    <row r="12" spans="2:13" x14ac:dyDescent="0.3">
      <c r="B12" s="8" t="s">
        <v>17</v>
      </c>
      <c r="C12" s="1" t="s">
        <v>32</v>
      </c>
      <c r="D12" s="8"/>
      <c r="E12" s="1"/>
      <c r="F12" s="8"/>
      <c r="G12" s="1"/>
      <c r="H12" s="8"/>
      <c r="I12" s="1"/>
      <c r="J12" s="8"/>
      <c r="K12" s="1"/>
      <c r="L12" s="8"/>
      <c r="M12" s="1"/>
    </row>
    <row r="13" spans="2:13" x14ac:dyDescent="0.3">
      <c r="B13" s="8" t="s">
        <v>17</v>
      </c>
      <c r="C13" s="1" t="s">
        <v>33</v>
      </c>
      <c r="D13" s="8"/>
      <c r="E13" s="1"/>
      <c r="F13" s="8"/>
      <c r="G13" s="1"/>
      <c r="H13" s="8"/>
      <c r="I13" s="1"/>
      <c r="J13" s="8"/>
      <c r="K13" s="1"/>
      <c r="L13" s="8"/>
      <c r="M13" s="1"/>
    </row>
    <row r="14" spans="2:13" x14ac:dyDescent="0.3">
      <c r="B14" s="8" t="s">
        <v>18</v>
      </c>
      <c r="C14" s="1" t="s">
        <v>34</v>
      </c>
      <c r="D14" s="8"/>
      <c r="E14" s="1"/>
      <c r="F14" s="8"/>
      <c r="G14" s="1"/>
      <c r="H14" s="8"/>
      <c r="I14" s="1"/>
      <c r="J14" s="8"/>
      <c r="K14" s="1"/>
      <c r="L14" s="8"/>
      <c r="M14" s="1"/>
    </row>
    <row r="15" spans="2:13" x14ac:dyDescent="0.3">
      <c r="B15" s="8" t="s">
        <v>19</v>
      </c>
      <c r="C15" s="1" t="s">
        <v>35</v>
      </c>
      <c r="D15" s="8"/>
      <c r="E15" s="1"/>
      <c r="F15" s="8"/>
      <c r="G15" s="1"/>
      <c r="H15" s="8"/>
      <c r="I15" s="1"/>
      <c r="J15" s="8"/>
      <c r="K15" s="1"/>
      <c r="L15" s="8"/>
      <c r="M15" s="1"/>
    </row>
    <row r="16" spans="2:13" x14ac:dyDescent="0.3">
      <c r="B16" s="8" t="s">
        <v>20</v>
      </c>
      <c r="C16" s="1" t="s">
        <v>36</v>
      </c>
      <c r="D16" s="8"/>
      <c r="E16" s="1"/>
      <c r="F16" s="8"/>
      <c r="G16" s="1"/>
      <c r="H16" s="8"/>
      <c r="I16" s="1"/>
      <c r="J16" s="8"/>
      <c r="K16" s="1"/>
      <c r="L16" s="8"/>
      <c r="M16" s="1"/>
    </row>
    <row r="17" spans="2:13" x14ac:dyDescent="0.3">
      <c r="B17" s="8" t="s">
        <v>21</v>
      </c>
      <c r="C17" s="1" t="s">
        <v>37</v>
      </c>
      <c r="D17" s="8"/>
      <c r="E17" s="1"/>
      <c r="F17" s="8"/>
      <c r="G17" s="1"/>
      <c r="H17" s="8"/>
      <c r="I17" s="1"/>
      <c r="J17" s="8"/>
      <c r="K17" s="1"/>
      <c r="L17" s="8"/>
      <c r="M17" s="1"/>
    </row>
    <row r="18" spans="2:13" x14ac:dyDescent="0.3">
      <c r="B18" s="8" t="s">
        <v>22</v>
      </c>
      <c r="C18" s="1" t="s">
        <v>38</v>
      </c>
      <c r="D18" s="8"/>
      <c r="E18" s="1"/>
      <c r="F18" s="8"/>
      <c r="G18" s="1"/>
      <c r="H18" s="8"/>
      <c r="I18" s="1"/>
      <c r="J18" s="8"/>
      <c r="K18" s="1"/>
      <c r="L18" s="8"/>
      <c r="M18" s="1"/>
    </row>
    <row r="19" spans="2:13" x14ac:dyDescent="0.3">
      <c r="B19" s="8" t="s">
        <v>23</v>
      </c>
      <c r="C19" s="1" t="s">
        <v>39</v>
      </c>
      <c r="D19" s="8"/>
      <c r="E19" s="1"/>
      <c r="F19" s="8"/>
      <c r="G19" s="1"/>
      <c r="H19" s="8"/>
      <c r="I19" s="1"/>
      <c r="J19" s="8"/>
      <c r="K19" s="1"/>
      <c r="L19" s="8"/>
      <c r="M19" s="1"/>
    </row>
    <row r="20" spans="2:13" x14ac:dyDescent="0.3">
      <c r="B20" s="8" t="s">
        <v>24</v>
      </c>
      <c r="C20" s="1" t="s">
        <v>40</v>
      </c>
      <c r="D20" s="8"/>
      <c r="E20" s="1"/>
      <c r="F20" s="8"/>
      <c r="G20" s="1"/>
      <c r="H20" s="8"/>
      <c r="I20" s="1"/>
      <c r="J20" s="8"/>
      <c r="K20" s="1"/>
      <c r="L20" s="8"/>
      <c r="M20" s="1"/>
    </row>
    <row r="21" spans="2:13" x14ac:dyDescent="0.3">
      <c r="B21" s="8" t="s">
        <v>25</v>
      </c>
      <c r="C21" s="1" t="s">
        <v>41</v>
      </c>
      <c r="D21" s="8"/>
      <c r="E21" s="1"/>
      <c r="F21" s="8"/>
      <c r="G21" s="1"/>
      <c r="H21" s="8"/>
      <c r="I21" s="1"/>
      <c r="J21" s="8"/>
      <c r="K21" s="1"/>
      <c r="L21" s="8"/>
      <c r="M21" s="1"/>
    </row>
    <row r="22" spans="2:13" x14ac:dyDescent="0.3">
      <c r="B22" s="8" t="s">
        <v>26</v>
      </c>
      <c r="C22" s="1" t="s">
        <v>42</v>
      </c>
      <c r="D22" s="8"/>
      <c r="E22" s="1"/>
      <c r="F22" s="8"/>
      <c r="G22" s="1"/>
      <c r="H22" s="8"/>
      <c r="I22" s="1"/>
      <c r="J22" s="8"/>
      <c r="K22" s="1"/>
      <c r="L22" s="8"/>
      <c r="M22" s="1"/>
    </row>
    <row r="23" spans="2:13" x14ac:dyDescent="0.3">
      <c r="B23" s="8" t="s">
        <v>27</v>
      </c>
      <c r="C23" s="1" t="s">
        <v>43</v>
      </c>
      <c r="D23" s="8"/>
      <c r="E23" s="1"/>
      <c r="F23" s="8"/>
      <c r="G23" s="1"/>
      <c r="H23" s="8"/>
      <c r="I23" s="1"/>
      <c r="J23" s="8"/>
      <c r="K23" s="1"/>
      <c r="L23" s="8"/>
      <c r="M23" s="1"/>
    </row>
    <row r="24" spans="2:13" x14ac:dyDescent="0.3">
      <c r="B24" s="8"/>
      <c r="C24" s="1"/>
      <c r="D24" s="8"/>
      <c r="E24" s="1"/>
      <c r="F24" s="8"/>
      <c r="G24" s="1"/>
      <c r="H24" s="8"/>
      <c r="I24" s="1"/>
      <c r="J24" s="8"/>
      <c r="K24" s="1"/>
      <c r="L24" s="8"/>
      <c r="M24" s="1"/>
    </row>
    <row r="25" spans="2:13" x14ac:dyDescent="0.3">
      <c r="B25" s="8"/>
      <c r="C25" s="1"/>
      <c r="D25" s="8"/>
      <c r="E25" s="1"/>
      <c r="F25" s="8"/>
      <c r="G25" s="1"/>
      <c r="H25" s="8"/>
      <c r="I25" s="1"/>
      <c r="J25" s="8"/>
      <c r="K25" s="1"/>
      <c r="L25" s="8"/>
      <c r="M25" s="1"/>
    </row>
    <row r="26" spans="2:13" x14ac:dyDescent="0.3">
      <c r="B26" s="8"/>
      <c r="C26" s="1"/>
      <c r="D26" s="8"/>
      <c r="E26" s="1"/>
      <c r="F26" s="8"/>
      <c r="G26" s="1"/>
      <c r="H26" s="8"/>
      <c r="I26" s="1"/>
      <c r="J26" s="8"/>
      <c r="K26" s="1"/>
      <c r="L26" s="8"/>
      <c r="M26" s="1"/>
    </row>
    <row r="27" spans="2:13" x14ac:dyDescent="0.3">
      <c r="B27" s="8"/>
      <c r="C27" s="1"/>
      <c r="D27" s="8"/>
      <c r="E27" s="1"/>
      <c r="F27" s="8"/>
      <c r="G27" s="1"/>
      <c r="H27" s="8"/>
      <c r="I27" s="1"/>
      <c r="J27" s="8"/>
      <c r="K27" s="1"/>
      <c r="L27" s="8"/>
      <c r="M27" s="1"/>
    </row>
    <row r="28" spans="2:13" x14ac:dyDescent="0.3">
      <c r="B28" s="8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</row>
    <row r="29" spans="2:13" x14ac:dyDescent="0.3">
      <c r="B29" s="9"/>
      <c r="C29" s="2"/>
      <c r="D29" s="9"/>
      <c r="E29" s="2"/>
      <c r="F29" s="9"/>
      <c r="G29" s="2"/>
      <c r="H29" s="9"/>
      <c r="I29" s="2"/>
      <c r="J29" s="9"/>
      <c r="K29" s="2"/>
      <c r="L29" s="9"/>
      <c r="M29" s="2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센서위치</vt:lpstr>
      <vt:lpstr>컨베어 </vt:lpstr>
      <vt:lpstr>IP 목록</vt:lpstr>
      <vt:lpstr>센서위치!Print_Area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3</cp:revision>
  <dcterms:modified xsi:type="dcterms:W3CDTF">2021-03-24T09:01:04Z</dcterms:modified>
</cp:coreProperties>
</file>