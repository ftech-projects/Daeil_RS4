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OneDrive\바탕 화면\"/>
    </mc:Choice>
  </mc:AlternateContent>
  <xr:revisionPtr revIDLastSave="0" documentId="13_ncr:1_{C77794FE-2CDC-4A3C-8300-A4988B05F49C}" xr6:coauthVersionLast="47" xr6:coauthVersionMax="47" xr10:uidLastSave="{00000000-0000-0000-0000-000000000000}"/>
  <bookViews>
    <workbookView xWindow="30612" yWindow="9252" windowWidth="23256" windowHeight="12456" activeTab="1" xr2:uid="{00000000-000D-0000-FFFF-FFFF00000000}"/>
  </bookViews>
  <sheets>
    <sheet name="Sheet1" sheetId="1" r:id="rId1"/>
    <sheet name="신규!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" i="3" l="1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39" i="3" s="1"/>
  <c r="AC40" i="3" s="1"/>
  <c r="AC41" i="3" s="1"/>
  <c r="AC42" i="3" s="1"/>
  <c r="Z28" i="3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AC6" i="3"/>
  <c r="AC7" i="3" s="1"/>
  <c r="AC8" i="3" s="1"/>
  <c r="AC9" i="3" s="1"/>
  <c r="AC10" i="3" s="1"/>
  <c r="AC11" i="3" s="1"/>
  <c r="AC12" i="3" s="1"/>
  <c r="T34" i="3"/>
  <c r="T35" i="3" s="1"/>
  <c r="T36" i="3" s="1"/>
  <c r="T37" i="3" s="1"/>
  <c r="T38" i="3" s="1"/>
  <c r="T39" i="3" s="1"/>
  <c r="T40" i="3" s="1"/>
  <c r="T41" i="3" s="1"/>
  <c r="T42" i="3" s="1"/>
  <c r="T43" i="3" s="1"/>
  <c r="T11" i="3"/>
  <c r="T12" i="3" s="1"/>
  <c r="T13" i="3" s="1"/>
  <c r="T14" i="3" s="1"/>
  <c r="T15" i="3" s="1"/>
  <c r="T16" i="3" s="1"/>
  <c r="T17" i="3" s="1"/>
  <c r="T18" i="3" s="1"/>
  <c r="T19" i="3" s="1"/>
  <c r="T20" i="3" s="1"/>
  <c r="W6" i="3"/>
  <c r="W7" i="3" s="1"/>
  <c r="W8" i="3" s="1"/>
  <c r="W9" i="3" s="1"/>
  <c r="W10" i="3" s="1"/>
  <c r="W11" i="3" s="1"/>
  <c r="W12" i="3" s="1"/>
  <c r="W13" i="3" s="1"/>
  <c r="W14" i="3" s="1"/>
  <c r="W15" i="3" s="1"/>
  <c r="W16" i="3" s="1"/>
  <c r="Z6" i="3"/>
  <c r="Z7" i="3" s="1"/>
  <c r="Z8" i="3" s="1"/>
  <c r="Z9" i="3" s="1"/>
  <c r="Z10" i="3" s="1"/>
  <c r="Z11" i="3" s="1"/>
  <c r="Z12" i="3" s="1"/>
  <c r="Z13" i="3" s="1"/>
  <c r="Z14" i="3" s="1"/>
  <c r="Z15" i="3" s="1"/>
  <c r="Z16" i="3" s="1"/>
  <c r="Z17" i="3" s="1"/>
  <c r="Z18" i="3" s="1"/>
  <c r="Z19" i="3" s="1"/>
  <c r="Z20" i="3" s="1"/>
  <c r="P34" i="3"/>
  <c r="P35" i="3" s="1"/>
  <c r="P36" i="3" s="1"/>
  <c r="P37" i="3" s="1"/>
  <c r="P38" i="3" s="1"/>
  <c r="P39" i="3" s="1"/>
  <c r="P40" i="3" s="1"/>
  <c r="P41" i="3" s="1"/>
  <c r="P42" i="3" s="1"/>
  <c r="P43" i="3" s="1"/>
  <c r="P11" i="3"/>
  <c r="P12" i="3" s="1"/>
  <c r="P13" i="3" s="1"/>
  <c r="P14" i="3" s="1"/>
  <c r="P15" i="3" s="1"/>
  <c r="P16" i="3" s="1"/>
  <c r="P17" i="3" s="1"/>
  <c r="P18" i="3" s="1"/>
  <c r="P19" i="3" s="1"/>
  <c r="P20" i="3" s="1"/>
  <c r="I34" i="3"/>
  <c r="I35" i="3" s="1"/>
  <c r="I36" i="3" s="1"/>
  <c r="I37" i="3" s="1"/>
  <c r="I38" i="3" s="1"/>
  <c r="I39" i="3" s="1"/>
  <c r="I40" i="3" s="1"/>
  <c r="I41" i="3" s="1"/>
  <c r="I42" i="3" s="1"/>
  <c r="I43" i="3" s="1"/>
  <c r="L29" i="3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6" i="3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I11" i="3"/>
  <c r="I12" i="3" s="1"/>
  <c r="I13" i="3" s="1"/>
  <c r="I14" i="3" s="1"/>
  <c r="I15" i="3" s="1"/>
  <c r="I16" i="3" s="1"/>
  <c r="I17" i="3" s="1"/>
  <c r="I18" i="3" s="1"/>
  <c r="I19" i="3" s="1"/>
  <c r="I20" i="3" s="1"/>
  <c r="T29" i="1"/>
  <c r="T30" i="1" s="1"/>
  <c r="T31" i="1" s="1"/>
  <c r="T32" i="1" s="1"/>
  <c r="T33" i="1" s="1"/>
  <c r="T34" i="1" s="1"/>
  <c r="T35" i="1" s="1"/>
  <c r="T36" i="1" s="1"/>
  <c r="T37" i="1" s="1"/>
  <c r="T38" i="1" s="1"/>
  <c r="R29" i="1"/>
  <c r="R30" i="1" s="1"/>
  <c r="R31" i="1" s="1"/>
  <c r="R32" i="1" s="1"/>
  <c r="R33" i="1" s="1"/>
  <c r="R34" i="1" s="1"/>
  <c r="R35" i="1" s="1"/>
  <c r="R36" i="1" s="1"/>
  <c r="R37" i="1" s="1"/>
  <c r="R38" i="1" s="1"/>
  <c r="T7" i="1"/>
  <c r="T8" i="1" s="1"/>
  <c r="T9" i="1" s="1"/>
  <c r="T10" i="1" s="1"/>
  <c r="T11" i="1" s="1"/>
  <c r="T12" i="1" s="1"/>
  <c r="T13" i="1" s="1"/>
  <c r="T14" i="1" s="1"/>
  <c r="T15" i="1" s="1"/>
  <c r="T16" i="1" s="1"/>
  <c r="R7" i="1"/>
  <c r="R8" i="1" s="1"/>
  <c r="R9" i="1" s="1"/>
  <c r="R10" i="1" s="1"/>
  <c r="R11" i="1" s="1"/>
  <c r="R12" i="1" s="1"/>
  <c r="R13" i="1" s="1"/>
  <c r="R14" i="1" s="1"/>
  <c r="R15" i="1" s="1"/>
  <c r="R16" i="1" s="1"/>
  <c r="J30" i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H30" i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AC13" i="3" l="1"/>
  <c r="AC14" i="3" s="1"/>
  <c r="M7" i="1"/>
  <c r="M8" i="1" s="1"/>
  <c r="M9" i="1" s="1"/>
  <c r="M10" i="1" s="1"/>
  <c r="M11" i="1" s="1"/>
  <c r="M12" i="1" s="1"/>
  <c r="M13" i="1" s="1"/>
  <c r="M14" i="1" s="1"/>
  <c r="M15" i="1" s="1"/>
  <c r="M16" i="1" s="1"/>
  <c r="O7" i="1"/>
  <c r="O8" i="1" s="1"/>
  <c r="O9" i="1" s="1"/>
  <c r="O10" i="1" s="1"/>
  <c r="O11" i="1" s="1"/>
  <c r="O12" i="1" s="1"/>
  <c r="O13" i="1" s="1"/>
  <c r="O14" i="1" s="1"/>
  <c r="O15" i="1" s="1"/>
  <c r="O16" i="1" s="1"/>
  <c r="O29" i="1"/>
  <c r="O30" i="1" s="1"/>
  <c r="O31" i="1" s="1"/>
  <c r="O32" i="1" s="1"/>
  <c r="O33" i="1" s="1"/>
  <c r="O34" i="1" s="1"/>
  <c r="O35" i="1" s="1"/>
  <c r="O36" i="1" s="1"/>
  <c r="O37" i="1" s="1"/>
  <c r="O38" i="1" s="1"/>
  <c r="M29" i="1"/>
  <c r="M30" i="1" s="1"/>
  <c r="M31" i="1" s="1"/>
  <c r="M32" i="1" s="1"/>
  <c r="M33" i="1" s="1"/>
  <c r="M34" i="1" s="1"/>
  <c r="M35" i="1" s="1"/>
  <c r="M36" i="1" s="1"/>
  <c r="M37" i="1" s="1"/>
  <c r="M38" i="1" s="1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AC15" i="3" l="1"/>
  <c r="AC16" i="3" s="1"/>
  <c r="AC17" i="3" s="1"/>
  <c r="AC18" i="3" s="1"/>
  <c r="AC19" i="3" s="1"/>
  <c r="AC20" i="3" s="1"/>
</calcChain>
</file>

<file path=xl/sharedStrings.xml><?xml version="1.0" encoding="utf-8"?>
<sst xmlns="http://schemas.openxmlformats.org/spreadsheetml/2006/main" count="313" uniqueCount="137">
  <si>
    <t xml:space="preserve">공용 서보 제어 PLC 개발 맵 ( 펄스타입 ) </t>
    <phoneticPr fontId="2" type="noConversion"/>
  </si>
  <si>
    <t>D</t>
    <phoneticPr fontId="2" type="noConversion"/>
  </si>
  <si>
    <t>확장보드 추가시 다음주소로 
이어질수있게..</t>
    <phoneticPr fontId="2" type="noConversion"/>
  </si>
  <si>
    <t>PLC 핀 번호</t>
    <phoneticPr fontId="2" type="noConversion"/>
  </si>
  <si>
    <t>기본 I/O ADDRESS</t>
    <phoneticPr fontId="2" type="noConversion"/>
  </si>
  <si>
    <t>CW</t>
    <phoneticPr fontId="2" type="noConversion"/>
  </si>
  <si>
    <t>CCW</t>
    <phoneticPr fontId="2" type="noConversion"/>
  </si>
  <si>
    <t>현재 위치 상태값</t>
    <phoneticPr fontId="2" type="noConversion"/>
  </si>
  <si>
    <t>자동:1 / 수동:2</t>
    <phoneticPr fontId="2" type="noConversion"/>
  </si>
  <si>
    <t>플리커 신호(1초)</t>
    <phoneticPr fontId="2" type="noConversion"/>
  </si>
  <si>
    <t>PC IN</t>
    <phoneticPr fontId="2" type="noConversion"/>
  </si>
  <si>
    <t>PC OUT</t>
    <phoneticPr fontId="2" type="noConversion"/>
  </si>
  <si>
    <t>조그모드모터속도(1~100000)</t>
    <phoneticPr fontId="2" type="noConversion"/>
  </si>
  <si>
    <t>에러 리셋  - 펄스(1초)</t>
    <phoneticPr fontId="2" type="noConversion"/>
  </si>
  <si>
    <t>서보 알람</t>
    <phoneticPr fontId="2" type="noConversion"/>
  </si>
  <si>
    <t>홈 포지션 지령 - 펄스(1초)</t>
    <phoneticPr fontId="2" type="noConversion"/>
  </si>
  <si>
    <t>홈 포지션 완료</t>
    <phoneticPr fontId="2" type="noConversion"/>
  </si>
  <si>
    <t>비상 정지</t>
    <phoneticPr fontId="2" type="noConversion"/>
  </si>
  <si>
    <t>수동 정지 지령 - 펄스(1초)</t>
    <phoneticPr fontId="2" type="noConversion"/>
  </si>
  <si>
    <t>수동 정지 완료</t>
    <phoneticPr fontId="2" type="noConversion"/>
  </si>
  <si>
    <t>포지션 2</t>
    <phoneticPr fontId="2" type="noConversion"/>
  </si>
  <si>
    <t>.</t>
    <phoneticPr fontId="2" type="noConversion"/>
  </si>
  <si>
    <t>서보 ADDRESS (위치)</t>
    <phoneticPr fontId="2" type="noConversion"/>
  </si>
  <si>
    <t>포지션 1 속도 (1~100000)</t>
    <phoneticPr fontId="2" type="noConversion"/>
  </si>
  <si>
    <t>포지션 1 - 노멀일때 0 , 완료시 1</t>
    <phoneticPr fontId="2" type="noConversion"/>
  </si>
  <si>
    <t>포지션 1 시작 신호 - 1초 펄스</t>
    <phoneticPr fontId="2" type="noConversion"/>
  </si>
  <si>
    <t>※원점복귀 모터속도(1~100000)</t>
    <phoneticPr fontId="2" type="noConversion"/>
  </si>
  <si>
    <r>
      <t xml:space="preserve">이렇게 하면 한 포지션 완료 되고 1, 
다음 포지션 지령나가면 0 으로 되나요?                     </t>
    </r>
    <r>
      <rPr>
        <sz val="11"/>
        <color rgb="FFFF0000"/>
        <rFont val="맑은 고딕"/>
        <family val="3"/>
        <charset val="129"/>
        <scheme val="minor"/>
      </rPr>
      <t>※(포지현 완료 되면 1초 ON후 OFF됩니다)</t>
    </r>
    <phoneticPr fontId="2" type="noConversion"/>
  </si>
  <si>
    <t>포지션 1 - 위치 (범위는 정해주셔야할듯?)</t>
    <phoneticPr fontId="2" type="noConversion"/>
  </si>
  <si>
    <t>서보 ADDRESS (기본 신호) 1축</t>
    <phoneticPr fontId="2" type="noConversion"/>
  </si>
  <si>
    <t>서보 ADDRESS (기본 신호) 2축</t>
    <phoneticPr fontId="2" type="noConversion"/>
  </si>
  <si>
    <t>D4200</t>
    <phoneticPr fontId="2" type="noConversion"/>
  </si>
  <si>
    <t>D4202</t>
    <phoneticPr fontId="2" type="noConversion"/>
  </si>
  <si>
    <t>D4204</t>
  </si>
  <si>
    <t>D4206</t>
  </si>
  <si>
    <t>D4208</t>
  </si>
  <si>
    <t>D4210</t>
  </si>
  <si>
    <t>D4212</t>
  </si>
  <si>
    <t>D4214</t>
  </si>
  <si>
    <t>D4216</t>
  </si>
  <si>
    <t>D4218</t>
  </si>
  <si>
    <t>D4220</t>
  </si>
  <si>
    <t>D4222</t>
  </si>
  <si>
    <t>D4224</t>
  </si>
  <si>
    <t>D4226</t>
  </si>
  <si>
    <t>D4228</t>
  </si>
  <si>
    <t>D4230</t>
  </si>
  <si>
    <t>D4232</t>
  </si>
  <si>
    <t>D4234</t>
  </si>
  <si>
    <t>D4236</t>
  </si>
  <si>
    <t>D4238</t>
  </si>
  <si>
    <t>D4240</t>
  </si>
  <si>
    <t>D4242</t>
  </si>
  <si>
    <t>D4244</t>
  </si>
  <si>
    <t>D4246</t>
  </si>
  <si>
    <t>D4248</t>
  </si>
  <si>
    <t>D4250</t>
  </si>
  <si>
    <t>D4252</t>
  </si>
  <si>
    <t>D4254</t>
  </si>
  <si>
    <t>D4256</t>
  </si>
  <si>
    <t>D4258</t>
  </si>
  <si>
    <t>D4260</t>
  </si>
  <si>
    <t>D4262</t>
  </si>
  <si>
    <t>D4264</t>
  </si>
  <si>
    <t>D4266</t>
  </si>
  <si>
    <t>D4268</t>
  </si>
  <si>
    <t>D4270</t>
  </si>
  <si>
    <t>D4272</t>
  </si>
  <si>
    <t>D4274</t>
  </si>
  <si>
    <t>D4276</t>
  </si>
  <si>
    <t>D4278</t>
  </si>
  <si>
    <t>D4280</t>
  </si>
  <si>
    <t>D4282</t>
  </si>
  <si>
    <t>D4284</t>
  </si>
  <si>
    <t>D4286</t>
  </si>
  <si>
    <t>D4288</t>
  </si>
  <si>
    <t>D4290</t>
  </si>
  <si>
    <t>D4292</t>
  </si>
  <si>
    <t>D4294</t>
  </si>
  <si>
    <t>D4296</t>
  </si>
  <si>
    <t>D4298</t>
  </si>
  <si>
    <t>IN</t>
    <phoneticPr fontId="2" type="noConversion"/>
  </si>
  <si>
    <t>OUT</t>
    <phoneticPr fontId="2" type="noConversion"/>
  </si>
  <si>
    <t>서보 1 축</t>
    <phoneticPr fontId="2" type="noConversion"/>
  </si>
  <si>
    <t>자동</t>
    <phoneticPr fontId="2" type="noConversion"/>
  </si>
  <si>
    <t>수동</t>
    <phoneticPr fontId="2" type="noConversion"/>
  </si>
  <si>
    <t>서보 2 축</t>
    <phoneticPr fontId="2" type="noConversion"/>
  </si>
  <si>
    <t>8 워드</t>
    <phoneticPr fontId="2" type="noConversion"/>
  </si>
  <si>
    <t>4 워드</t>
    <phoneticPr fontId="2" type="noConversion"/>
  </si>
  <si>
    <t>1축 현재 위치 상태값</t>
    <phoneticPr fontId="2" type="noConversion"/>
  </si>
  <si>
    <t>1축 조그모드모터속도(1~100000)</t>
    <phoneticPr fontId="2" type="noConversion"/>
  </si>
  <si>
    <t>1 축 원점복귀 모터속도(1~100000)</t>
    <phoneticPr fontId="2" type="noConversion"/>
  </si>
  <si>
    <t>2축 현재 위치 상태값</t>
    <phoneticPr fontId="2" type="noConversion"/>
  </si>
  <si>
    <t>2축 조그모드모터속도(1~100000)</t>
    <phoneticPr fontId="2" type="noConversion"/>
  </si>
  <si>
    <t>2축 원점복귀 모터속도(1~100000)</t>
    <phoneticPr fontId="2" type="noConversion"/>
  </si>
  <si>
    <t>포지션 1 완료</t>
    <phoneticPr fontId="2" type="noConversion"/>
  </si>
  <si>
    <t>포지션 2 완료</t>
    <phoneticPr fontId="2" type="noConversion"/>
  </si>
  <si>
    <t>포지션 3 완료</t>
    <phoneticPr fontId="2" type="noConversion"/>
  </si>
  <si>
    <t>포지션 4 완료</t>
    <phoneticPr fontId="2" type="noConversion"/>
  </si>
  <si>
    <t>2 워드</t>
    <phoneticPr fontId="2" type="noConversion"/>
  </si>
  <si>
    <t>6 워드</t>
    <phoneticPr fontId="2" type="noConversion"/>
  </si>
  <si>
    <t>포지션 1 지령</t>
    <phoneticPr fontId="2" type="noConversion"/>
  </si>
  <si>
    <t>포지션 2 지령</t>
    <phoneticPr fontId="2" type="noConversion"/>
  </si>
  <si>
    <t>포지션 3 지령</t>
    <phoneticPr fontId="2" type="noConversion"/>
  </si>
  <si>
    <t>포지션 4 지령</t>
    <phoneticPr fontId="2" type="noConversion"/>
  </si>
  <si>
    <t>포지션 5 지령</t>
    <phoneticPr fontId="2" type="noConversion"/>
  </si>
  <si>
    <t>포지션 6 지령</t>
    <phoneticPr fontId="2" type="noConversion"/>
  </si>
  <si>
    <t>포지션 7 지령</t>
    <phoneticPr fontId="2" type="noConversion"/>
  </si>
  <si>
    <t>포지션 8 지령</t>
    <phoneticPr fontId="2" type="noConversion"/>
  </si>
  <si>
    <t>포지션 5 완료</t>
    <phoneticPr fontId="2" type="noConversion"/>
  </si>
  <si>
    <t>포지션 6 완료</t>
    <phoneticPr fontId="2" type="noConversion"/>
  </si>
  <si>
    <t>포지션 7 완료</t>
    <phoneticPr fontId="2" type="noConversion"/>
  </si>
  <si>
    <t>포지션 8 완료</t>
    <phoneticPr fontId="2" type="noConversion"/>
  </si>
  <si>
    <t>서보 1축</t>
    <phoneticPr fontId="2" type="noConversion"/>
  </si>
  <si>
    <t>포지션 1 지령 위치</t>
    <phoneticPr fontId="2" type="noConversion"/>
  </si>
  <si>
    <t>포지션 1 속도</t>
    <phoneticPr fontId="2" type="noConversion"/>
  </si>
  <si>
    <t>포지션 2 지령 위치</t>
    <phoneticPr fontId="2" type="noConversion"/>
  </si>
  <si>
    <t>포지션 2 속도</t>
    <phoneticPr fontId="2" type="noConversion"/>
  </si>
  <si>
    <t>포지션 3 지령 위치</t>
    <phoneticPr fontId="2" type="noConversion"/>
  </si>
  <si>
    <t>포지션 3 속도</t>
    <phoneticPr fontId="2" type="noConversion"/>
  </si>
  <si>
    <t>포지션 4 지령 위치</t>
    <phoneticPr fontId="2" type="noConversion"/>
  </si>
  <si>
    <t>포지션 4 속도</t>
    <phoneticPr fontId="2" type="noConversion"/>
  </si>
  <si>
    <t>16 워드</t>
    <phoneticPr fontId="2" type="noConversion"/>
  </si>
  <si>
    <t>서보 2축</t>
    <phoneticPr fontId="2" type="noConversion"/>
  </si>
  <si>
    <t>포지션 5 지령 위치</t>
    <phoneticPr fontId="2" type="noConversion"/>
  </si>
  <si>
    <t>포지션 5 속도</t>
    <phoneticPr fontId="2" type="noConversion"/>
  </si>
  <si>
    <t>포지션 6 지령 위치</t>
    <phoneticPr fontId="2" type="noConversion"/>
  </si>
  <si>
    <t>포지션 6 속도</t>
    <phoneticPr fontId="2" type="noConversion"/>
  </si>
  <si>
    <t>포지션 7 지령 위치</t>
    <phoneticPr fontId="2" type="noConversion"/>
  </si>
  <si>
    <t>포지션 7 속도</t>
    <phoneticPr fontId="2" type="noConversion"/>
  </si>
  <si>
    <t>포지션 8 지령 위치</t>
    <phoneticPr fontId="2" type="noConversion"/>
  </si>
  <si>
    <t>포지션 8 속도</t>
    <phoneticPr fontId="2" type="noConversion"/>
  </si>
  <si>
    <t>비상정지</t>
    <phoneticPr fontId="2" type="noConversion"/>
  </si>
  <si>
    <t>CW LIMITS</t>
    <phoneticPr fontId="2" type="noConversion"/>
  </si>
  <si>
    <t>CCW LIMITS</t>
    <phoneticPr fontId="2" type="noConversion"/>
  </si>
  <si>
    <t>HOME</t>
    <phoneticPr fontId="2" type="noConversion"/>
  </si>
  <si>
    <t>서보온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</si>
</sst>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6"/>
      <color theme="1"/>
      <name val="맑은 고딕"/>
      <family val="2"/>
      <charset val="129"/>
      <scheme val="minor"/>
    </font>
    <font>
      <sz val="2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176" fontId="0" fillId="4" borderId="17" xfId="0" applyNumberFormat="1" applyFill="1" applyBorder="1" applyAlignment="1">
      <alignment horizontal="center" vertical="center"/>
    </xf>
    <xf numFmtId="176" fontId="0" fillId="3" borderId="20" xfId="0" applyNumberFormat="1" applyFill="1" applyBorder="1" applyAlignment="1">
      <alignment horizontal="center" vertical="center"/>
    </xf>
    <xf numFmtId="176" fontId="0" fillId="4" borderId="21" xfId="0" applyNumberForma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6" fillId="5" borderId="34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36" xfId="0" applyBorder="1">
      <alignment vertical="center"/>
    </xf>
    <xf numFmtId="0" fontId="6" fillId="5" borderId="0" xfId="0" applyFont="1" applyFill="1" applyAlignment="1">
      <alignment horizontal="center" vertical="center"/>
    </xf>
    <xf numFmtId="0" fontId="4" fillId="3" borderId="30" xfId="0" applyFont="1" applyFill="1" applyBorder="1">
      <alignment vertical="center"/>
    </xf>
    <xf numFmtId="0" fontId="4" fillId="3" borderId="27" xfId="0" applyFont="1" applyFill="1" applyBorder="1">
      <alignment vertical="center"/>
    </xf>
    <xf numFmtId="0" fontId="4" fillId="4" borderId="30" xfId="0" applyFont="1" applyFill="1" applyBorder="1">
      <alignment vertical="center"/>
    </xf>
    <xf numFmtId="0" fontId="4" fillId="4" borderId="27" xfId="0" applyFont="1" applyFill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176" fontId="0" fillId="3" borderId="24" xfId="0" applyNumberFormat="1" applyFill="1" applyBorder="1" applyAlignment="1">
      <alignment horizontal="center" vertical="center"/>
    </xf>
    <xf numFmtId="176" fontId="0" fillId="3" borderId="25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0" fillId="3" borderId="26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76" fontId="0" fillId="3" borderId="27" xfId="0" applyNumberForma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29"/>
  <sheetViews>
    <sheetView zoomScale="85" zoomScaleNormal="85" workbookViewId="0">
      <selection activeCell="M57" sqref="M57"/>
    </sheetView>
  </sheetViews>
  <sheetFormatPr defaultColWidth="9" defaultRowHeight="16.5" x14ac:dyDescent="0.3"/>
  <cols>
    <col min="1" max="1" width="9" style="1"/>
    <col min="2" max="2" width="11.125" style="1" customWidth="1"/>
    <col min="3" max="3" width="9" style="1"/>
    <col min="4" max="4" width="11.25" style="1" customWidth="1"/>
    <col min="5" max="5" width="9" style="1"/>
    <col min="6" max="6" width="6.5" style="1" customWidth="1"/>
    <col min="7" max="7" width="31.125" style="1" customWidth="1"/>
    <col min="8" max="8" width="9" style="1"/>
    <col min="9" max="9" width="31.125" style="1" customWidth="1"/>
    <col min="10" max="11" width="9" style="1"/>
    <col min="12" max="12" width="48" style="1" customWidth="1"/>
    <col min="13" max="13" width="9" style="1"/>
    <col min="14" max="14" width="40.625" style="1" customWidth="1"/>
    <col min="15" max="15" width="10.5" style="1" customWidth="1"/>
    <col min="16" max="16" width="9" style="1"/>
    <col min="17" max="17" width="48" style="1" customWidth="1"/>
    <col min="18" max="18" width="9" style="1"/>
    <col min="19" max="19" width="40.625" style="1" customWidth="1"/>
    <col min="20" max="16384" width="9" style="1"/>
  </cols>
  <sheetData>
    <row r="2" spans="1:20" x14ac:dyDescent="0.3">
      <c r="A2" s="43" t="s">
        <v>1</v>
      </c>
      <c r="C2" s="1" t="s">
        <v>0</v>
      </c>
    </row>
    <row r="3" spans="1:20" x14ac:dyDescent="0.3">
      <c r="A3" s="43"/>
    </row>
    <row r="4" spans="1:20" x14ac:dyDescent="0.3">
      <c r="B4" s="38" t="s">
        <v>4</v>
      </c>
      <c r="C4" s="38"/>
      <c r="D4" s="38"/>
      <c r="E4" s="38"/>
      <c r="G4" s="38" t="s">
        <v>29</v>
      </c>
      <c r="H4" s="38"/>
      <c r="I4" s="38"/>
      <c r="J4" s="38"/>
      <c r="L4" s="38" t="s">
        <v>22</v>
      </c>
      <c r="M4" s="38"/>
      <c r="N4" s="38"/>
      <c r="O4" s="38"/>
      <c r="Q4" s="38" t="s">
        <v>22</v>
      </c>
      <c r="R4" s="38"/>
      <c r="S4" s="38"/>
      <c r="T4" s="38"/>
    </row>
    <row r="5" spans="1:20" x14ac:dyDescent="0.3">
      <c r="B5" s="37" t="s">
        <v>10</v>
      </c>
      <c r="C5" s="37"/>
      <c r="D5" s="39" t="s">
        <v>11</v>
      </c>
      <c r="E5" s="39"/>
      <c r="G5" s="37" t="s">
        <v>10</v>
      </c>
      <c r="H5" s="37"/>
      <c r="I5" s="39" t="s">
        <v>11</v>
      </c>
      <c r="J5" s="39"/>
      <c r="L5" s="37" t="s">
        <v>10</v>
      </c>
      <c r="M5" s="37"/>
      <c r="N5" s="39" t="s">
        <v>11</v>
      </c>
      <c r="O5" s="39"/>
      <c r="Q5" s="37" t="s">
        <v>10</v>
      </c>
      <c r="R5" s="37"/>
      <c r="S5" s="39" t="s">
        <v>11</v>
      </c>
      <c r="T5" s="39"/>
    </row>
    <row r="6" spans="1:20" x14ac:dyDescent="0.3">
      <c r="B6" s="2" t="s">
        <v>3</v>
      </c>
      <c r="C6" s="2">
        <v>4000</v>
      </c>
      <c r="D6" s="3"/>
      <c r="E6" s="3">
        <v>5000</v>
      </c>
      <c r="G6" s="2" t="s">
        <v>9</v>
      </c>
      <c r="H6" s="2">
        <v>1000</v>
      </c>
      <c r="I6" s="3" t="s">
        <v>9</v>
      </c>
      <c r="J6" s="3">
        <v>2000</v>
      </c>
      <c r="L6" s="2" t="s">
        <v>24</v>
      </c>
      <c r="M6" s="2">
        <v>3000</v>
      </c>
      <c r="N6" s="4" t="s">
        <v>28</v>
      </c>
      <c r="O6" s="3">
        <v>3200</v>
      </c>
      <c r="Q6" s="2" t="s">
        <v>24</v>
      </c>
      <c r="R6" s="2">
        <v>4000</v>
      </c>
      <c r="S6" s="4" t="s">
        <v>28</v>
      </c>
      <c r="T6" s="3">
        <v>4200</v>
      </c>
    </row>
    <row r="7" spans="1:20" x14ac:dyDescent="0.3">
      <c r="B7" s="2"/>
      <c r="C7" s="2">
        <f>SUM(C6)+1</f>
        <v>4001</v>
      </c>
      <c r="D7" s="3"/>
      <c r="E7" s="3">
        <f>SUM(E6)+1</f>
        <v>5001</v>
      </c>
      <c r="G7" s="2"/>
      <c r="H7" s="2">
        <f>SUM(H6+1)</f>
        <v>1001</v>
      </c>
      <c r="I7" s="3" t="s">
        <v>5</v>
      </c>
      <c r="J7" s="3">
        <f>SUM(J6+1)</f>
        <v>2001</v>
      </c>
      <c r="L7" s="2" t="s">
        <v>20</v>
      </c>
      <c r="M7" s="2">
        <f>SUM(M6+2)</f>
        <v>3002</v>
      </c>
      <c r="N7" s="3" t="s">
        <v>20</v>
      </c>
      <c r="O7" s="3">
        <f>SUM(O6+2)</f>
        <v>3202</v>
      </c>
      <c r="Q7" s="2" t="s">
        <v>20</v>
      </c>
      <c r="R7" s="2">
        <f>SUM(R6+2)</f>
        <v>4002</v>
      </c>
      <c r="S7" s="3" t="s">
        <v>20</v>
      </c>
      <c r="T7" s="3">
        <f>SUM(T6+2)</f>
        <v>4202</v>
      </c>
    </row>
    <row r="8" spans="1:20" x14ac:dyDescent="0.3">
      <c r="B8" s="2"/>
      <c r="C8" s="2">
        <f t="shared" ref="C8:C21" si="0">SUM(C7)+1</f>
        <v>4002</v>
      </c>
      <c r="D8" s="3"/>
      <c r="E8" s="3">
        <f t="shared" ref="E8:E21" si="1">SUM(E7)+1</f>
        <v>5002</v>
      </c>
      <c r="G8" s="2"/>
      <c r="H8" s="2">
        <f t="shared" ref="H8:H25" si="2">SUM(H7+1)</f>
        <v>1002</v>
      </c>
      <c r="I8" s="3" t="s">
        <v>6</v>
      </c>
      <c r="J8" s="3">
        <f t="shared" ref="J8:J25" si="3">SUM(J7+1)</f>
        <v>2002</v>
      </c>
      <c r="L8" s="2">
        <v>3</v>
      </c>
      <c r="M8" s="2">
        <f t="shared" ref="M8:M16" si="4">SUM(M7+2)</f>
        <v>3004</v>
      </c>
      <c r="N8" s="3">
        <v>3</v>
      </c>
      <c r="O8" s="3">
        <f t="shared" ref="O8:O16" si="5">SUM(O7+2)</f>
        <v>3204</v>
      </c>
      <c r="Q8" s="2">
        <v>3</v>
      </c>
      <c r="R8" s="2">
        <f t="shared" ref="R8:R16" si="6">SUM(R7+2)</f>
        <v>4004</v>
      </c>
      <c r="S8" s="3">
        <v>3</v>
      </c>
      <c r="T8" s="3">
        <f t="shared" ref="T8:T16" si="7">SUM(T7+2)</f>
        <v>4204</v>
      </c>
    </row>
    <row r="9" spans="1:20" x14ac:dyDescent="0.3">
      <c r="B9" s="2"/>
      <c r="C9" s="2">
        <f t="shared" si="0"/>
        <v>4003</v>
      </c>
      <c r="D9" s="3"/>
      <c r="E9" s="3">
        <f t="shared" si="1"/>
        <v>5003</v>
      </c>
      <c r="G9" s="2" t="s">
        <v>14</v>
      </c>
      <c r="H9" s="2">
        <f t="shared" si="2"/>
        <v>1003</v>
      </c>
      <c r="I9" s="3" t="s">
        <v>13</v>
      </c>
      <c r="J9" s="3">
        <f t="shared" si="3"/>
        <v>2003</v>
      </c>
      <c r="L9" s="2">
        <v>4</v>
      </c>
      <c r="M9" s="2">
        <f t="shared" si="4"/>
        <v>3006</v>
      </c>
      <c r="N9" s="3">
        <v>4</v>
      </c>
      <c r="O9" s="3">
        <f t="shared" si="5"/>
        <v>3206</v>
      </c>
      <c r="Q9" s="2">
        <v>4</v>
      </c>
      <c r="R9" s="2">
        <f t="shared" si="6"/>
        <v>4006</v>
      </c>
      <c r="S9" s="3">
        <v>4</v>
      </c>
      <c r="T9" s="3">
        <f t="shared" si="7"/>
        <v>4206</v>
      </c>
    </row>
    <row r="10" spans="1:20" x14ac:dyDescent="0.3">
      <c r="B10" s="2"/>
      <c r="C10" s="2">
        <f t="shared" si="0"/>
        <v>4004</v>
      </c>
      <c r="D10" s="3"/>
      <c r="E10" s="3">
        <f t="shared" si="1"/>
        <v>5004</v>
      </c>
      <c r="G10" s="2" t="s">
        <v>16</v>
      </c>
      <c r="H10" s="2">
        <f t="shared" si="2"/>
        <v>1004</v>
      </c>
      <c r="I10" s="3" t="s">
        <v>15</v>
      </c>
      <c r="J10" s="3">
        <f t="shared" si="3"/>
        <v>2004</v>
      </c>
      <c r="L10" s="2">
        <v>5</v>
      </c>
      <c r="M10" s="2">
        <f t="shared" si="4"/>
        <v>3008</v>
      </c>
      <c r="N10" s="3">
        <v>5</v>
      </c>
      <c r="O10" s="3">
        <f t="shared" si="5"/>
        <v>3208</v>
      </c>
      <c r="Q10" s="2">
        <v>5</v>
      </c>
      <c r="R10" s="2">
        <f t="shared" si="6"/>
        <v>4008</v>
      </c>
      <c r="S10" s="3">
        <v>5</v>
      </c>
      <c r="T10" s="3">
        <f t="shared" si="7"/>
        <v>4208</v>
      </c>
    </row>
    <row r="11" spans="1:20" x14ac:dyDescent="0.3">
      <c r="B11" s="2"/>
      <c r="C11" s="2">
        <f t="shared" si="0"/>
        <v>4005</v>
      </c>
      <c r="D11" s="3"/>
      <c r="E11" s="3">
        <f t="shared" si="1"/>
        <v>5005</v>
      </c>
      <c r="G11" s="2" t="s">
        <v>8</v>
      </c>
      <c r="H11" s="2">
        <f t="shared" si="2"/>
        <v>1005</v>
      </c>
      <c r="I11" s="3" t="s">
        <v>8</v>
      </c>
      <c r="J11" s="3">
        <f t="shared" si="3"/>
        <v>2005</v>
      </c>
      <c r="L11" s="2" t="s">
        <v>21</v>
      </c>
      <c r="M11" s="2">
        <f t="shared" si="4"/>
        <v>3010</v>
      </c>
      <c r="N11" s="3" t="s">
        <v>21</v>
      </c>
      <c r="O11" s="3">
        <f t="shared" si="5"/>
        <v>3210</v>
      </c>
      <c r="Q11" s="2" t="s">
        <v>21</v>
      </c>
      <c r="R11" s="2">
        <f t="shared" si="6"/>
        <v>4010</v>
      </c>
      <c r="S11" s="3" t="s">
        <v>21</v>
      </c>
      <c r="T11" s="3">
        <f t="shared" si="7"/>
        <v>4210</v>
      </c>
    </row>
    <row r="12" spans="1:20" x14ac:dyDescent="0.3">
      <c r="B12" s="2"/>
      <c r="C12" s="2">
        <f t="shared" si="0"/>
        <v>4006</v>
      </c>
      <c r="D12" s="3"/>
      <c r="E12" s="3">
        <f t="shared" si="1"/>
        <v>5006</v>
      </c>
      <c r="G12" s="2" t="s">
        <v>17</v>
      </c>
      <c r="H12" s="2">
        <f t="shared" si="2"/>
        <v>1006</v>
      </c>
      <c r="I12" s="3"/>
      <c r="J12" s="3">
        <f t="shared" si="3"/>
        <v>2006</v>
      </c>
      <c r="L12" s="2" t="s">
        <v>21</v>
      </c>
      <c r="M12" s="2">
        <f t="shared" si="4"/>
        <v>3012</v>
      </c>
      <c r="N12" s="3" t="s">
        <v>21</v>
      </c>
      <c r="O12" s="3">
        <f t="shared" si="5"/>
        <v>3212</v>
      </c>
      <c r="Q12" s="2" t="s">
        <v>21</v>
      </c>
      <c r="R12" s="2">
        <f t="shared" si="6"/>
        <v>4012</v>
      </c>
      <c r="S12" s="3" t="s">
        <v>21</v>
      </c>
      <c r="T12" s="3">
        <f t="shared" si="7"/>
        <v>4212</v>
      </c>
    </row>
    <row r="13" spans="1:20" x14ac:dyDescent="0.3">
      <c r="B13" s="2"/>
      <c r="C13" s="2">
        <f t="shared" si="0"/>
        <v>4007</v>
      </c>
      <c r="D13" s="3"/>
      <c r="E13" s="3">
        <f t="shared" si="1"/>
        <v>5007</v>
      </c>
      <c r="G13" s="2" t="s">
        <v>19</v>
      </c>
      <c r="H13" s="2">
        <f t="shared" si="2"/>
        <v>1007</v>
      </c>
      <c r="I13" s="3" t="s">
        <v>18</v>
      </c>
      <c r="J13" s="3">
        <f t="shared" si="3"/>
        <v>2007</v>
      </c>
      <c r="L13" s="2" t="s">
        <v>21</v>
      </c>
      <c r="M13" s="2">
        <f t="shared" si="4"/>
        <v>3014</v>
      </c>
      <c r="N13" s="3" t="s">
        <v>21</v>
      </c>
      <c r="O13" s="3">
        <f t="shared" si="5"/>
        <v>3214</v>
      </c>
      <c r="Q13" s="2" t="s">
        <v>21</v>
      </c>
      <c r="R13" s="2">
        <f t="shared" si="6"/>
        <v>4014</v>
      </c>
      <c r="S13" s="3" t="s">
        <v>21</v>
      </c>
      <c r="T13" s="3">
        <f t="shared" si="7"/>
        <v>4214</v>
      </c>
    </row>
    <row r="14" spans="1:20" x14ac:dyDescent="0.3">
      <c r="B14" s="2"/>
      <c r="C14" s="2">
        <f t="shared" si="0"/>
        <v>4008</v>
      </c>
      <c r="D14" s="3"/>
      <c r="E14" s="3">
        <f t="shared" si="1"/>
        <v>5008</v>
      </c>
      <c r="G14" s="6" t="s">
        <v>7</v>
      </c>
      <c r="H14" s="2">
        <f t="shared" si="2"/>
        <v>1008</v>
      </c>
      <c r="I14" s="3"/>
      <c r="J14" s="3">
        <f t="shared" si="3"/>
        <v>2008</v>
      </c>
      <c r="L14" s="2" t="s">
        <v>21</v>
      </c>
      <c r="M14" s="2">
        <f t="shared" si="4"/>
        <v>3016</v>
      </c>
      <c r="N14" s="3" t="s">
        <v>21</v>
      </c>
      <c r="O14" s="3">
        <f t="shared" si="5"/>
        <v>3216</v>
      </c>
      <c r="Q14" s="2" t="s">
        <v>21</v>
      </c>
      <c r="R14" s="2">
        <f t="shared" si="6"/>
        <v>4016</v>
      </c>
      <c r="S14" s="3" t="s">
        <v>21</v>
      </c>
      <c r="T14" s="3">
        <f t="shared" si="7"/>
        <v>4216</v>
      </c>
    </row>
    <row r="15" spans="1:20" x14ac:dyDescent="0.3">
      <c r="B15" s="2"/>
      <c r="C15" s="2">
        <f t="shared" si="0"/>
        <v>4009</v>
      </c>
      <c r="D15" s="3"/>
      <c r="E15" s="3">
        <f t="shared" si="1"/>
        <v>5009</v>
      </c>
      <c r="G15" s="2"/>
      <c r="H15" s="2">
        <f t="shared" si="2"/>
        <v>1009</v>
      </c>
      <c r="I15" s="3"/>
      <c r="J15" s="3">
        <f t="shared" si="3"/>
        <v>2009</v>
      </c>
      <c r="L15" s="2" t="s">
        <v>21</v>
      </c>
      <c r="M15" s="2">
        <f t="shared" si="4"/>
        <v>3018</v>
      </c>
      <c r="N15" s="3" t="s">
        <v>21</v>
      </c>
      <c r="O15" s="3">
        <f t="shared" si="5"/>
        <v>3218</v>
      </c>
      <c r="Q15" s="2" t="s">
        <v>21</v>
      </c>
      <c r="R15" s="2">
        <f t="shared" si="6"/>
        <v>4018</v>
      </c>
      <c r="S15" s="3" t="s">
        <v>21</v>
      </c>
      <c r="T15" s="3">
        <f t="shared" si="7"/>
        <v>4218</v>
      </c>
    </row>
    <row r="16" spans="1:20" x14ac:dyDescent="0.3">
      <c r="B16" s="2"/>
      <c r="C16" s="2">
        <f t="shared" si="0"/>
        <v>4010</v>
      </c>
      <c r="D16" s="3"/>
      <c r="E16" s="3">
        <f t="shared" si="1"/>
        <v>5010</v>
      </c>
      <c r="G16" s="2"/>
      <c r="H16" s="2">
        <f t="shared" si="2"/>
        <v>1010</v>
      </c>
      <c r="I16" s="4" t="s">
        <v>12</v>
      </c>
      <c r="J16" s="3">
        <f t="shared" si="3"/>
        <v>2010</v>
      </c>
      <c r="L16" s="2" t="s">
        <v>21</v>
      </c>
      <c r="M16" s="2">
        <f t="shared" si="4"/>
        <v>3020</v>
      </c>
      <c r="N16" s="3" t="s">
        <v>21</v>
      </c>
      <c r="O16" s="3">
        <f t="shared" si="5"/>
        <v>3220</v>
      </c>
      <c r="Q16" s="2" t="s">
        <v>21</v>
      </c>
      <c r="R16" s="2">
        <f t="shared" si="6"/>
        <v>4020</v>
      </c>
      <c r="S16" s="3" t="s">
        <v>21</v>
      </c>
      <c r="T16" s="3">
        <f t="shared" si="7"/>
        <v>4220</v>
      </c>
    </row>
    <row r="17" spans="2:20" x14ac:dyDescent="0.3">
      <c r="B17" s="2"/>
      <c r="C17" s="2">
        <f t="shared" si="0"/>
        <v>4011</v>
      </c>
      <c r="D17" s="3"/>
      <c r="E17" s="3">
        <f t="shared" si="1"/>
        <v>5011</v>
      </c>
      <c r="G17" s="2"/>
      <c r="H17" s="2">
        <f t="shared" si="2"/>
        <v>1011</v>
      </c>
      <c r="I17" s="3"/>
      <c r="J17" s="3">
        <f t="shared" si="3"/>
        <v>2011</v>
      </c>
      <c r="L17" s="2">
        <v>100</v>
      </c>
      <c r="M17" s="2">
        <v>3198</v>
      </c>
      <c r="N17" s="3">
        <v>100</v>
      </c>
      <c r="O17" s="3">
        <v>3398</v>
      </c>
      <c r="Q17" s="2">
        <v>100</v>
      </c>
      <c r="R17" s="2">
        <v>3198</v>
      </c>
      <c r="S17" s="3">
        <v>100</v>
      </c>
      <c r="T17" s="3">
        <v>3398</v>
      </c>
    </row>
    <row r="18" spans="2:20" x14ac:dyDescent="0.3">
      <c r="B18" s="2"/>
      <c r="C18" s="2">
        <f t="shared" si="0"/>
        <v>4012</v>
      </c>
      <c r="D18" s="3"/>
      <c r="E18" s="3">
        <f t="shared" si="1"/>
        <v>5012</v>
      </c>
      <c r="G18" s="2"/>
      <c r="H18" s="2">
        <f t="shared" si="2"/>
        <v>1012</v>
      </c>
      <c r="I18" s="5" t="s">
        <v>26</v>
      </c>
      <c r="J18" s="3">
        <f t="shared" si="3"/>
        <v>2012</v>
      </c>
      <c r="L18" s="2"/>
      <c r="M18" s="2"/>
      <c r="N18" s="3"/>
      <c r="O18" s="3"/>
      <c r="Q18" s="2"/>
      <c r="R18" s="2"/>
      <c r="S18" s="3"/>
      <c r="T18" s="3"/>
    </row>
    <row r="19" spans="2:20" x14ac:dyDescent="0.3">
      <c r="B19" s="2"/>
      <c r="C19" s="2">
        <f t="shared" si="0"/>
        <v>4013</v>
      </c>
      <c r="D19" s="3"/>
      <c r="E19" s="3">
        <f t="shared" si="1"/>
        <v>5013</v>
      </c>
      <c r="G19" s="2"/>
      <c r="H19" s="2">
        <f t="shared" si="2"/>
        <v>1013</v>
      </c>
      <c r="I19" s="3"/>
      <c r="J19" s="3">
        <f t="shared" si="3"/>
        <v>2013</v>
      </c>
      <c r="L19" s="36" t="s">
        <v>27</v>
      </c>
      <c r="M19" s="2"/>
      <c r="N19" s="3"/>
      <c r="O19" s="3"/>
      <c r="Q19" s="36" t="s">
        <v>27</v>
      </c>
      <c r="R19" s="2"/>
      <c r="S19" s="3"/>
      <c r="T19" s="3"/>
    </row>
    <row r="20" spans="2:20" x14ac:dyDescent="0.3">
      <c r="B20" s="2"/>
      <c r="C20" s="2">
        <f t="shared" si="0"/>
        <v>4014</v>
      </c>
      <c r="D20" s="3"/>
      <c r="E20" s="3">
        <f t="shared" si="1"/>
        <v>5014</v>
      </c>
      <c r="G20" s="2"/>
      <c r="H20" s="2">
        <f t="shared" si="2"/>
        <v>1014</v>
      </c>
      <c r="I20" s="3"/>
      <c r="J20" s="3">
        <f t="shared" si="3"/>
        <v>2014</v>
      </c>
      <c r="L20" s="37"/>
      <c r="M20" s="2"/>
      <c r="N20" s="3"/>
      <c r="O20" s="3"/>
      <c r="Q20" s="37"/>
      <c r="R20" s="2"/>
      <c r="S20" s="3"/>
      <c r="T20" s="3"/>
    </row>
    <row r="21" spans="2:20" x14ac:dyDescent="0.3">
      <c r="B21" s="2"/>
      <c r="C21" s="2">
        <f t="shared" si="0"/>
        <v>4015</v>
      </c>
      <c r="D21" s="3"/>
      <c r="E21" s="3">
        <f t="shared" si="1"/>
        <v>5015</v>
      </c>
      <c r="G21" s="2"/>
      <c r="H21" s="2">
        <f t="shared" si="2"/>
        <v>1015</v>
      </c>
      <c r="I21" s="3"/>
      <c r="J21" s="3">
        <f t="shared" si="3"/>
        <v>2015</v>
      </c>
      <c r="L21" s="37"/>
      <c r="M21" s="2"/>
      <c r="N21" s="3"/>
      <c r="O21" s="3"/>
      <c r="Q21" s="37"/>
      <c r="R21" s="2"/>
      <c r="S21" s="3"/>
      <c r="T21" s="3"/>
    </row>
    <row r="22" spans="2:20" x14ac:dyDescent="0.3">
      <c r="B22" s="44" t="s">
        <v>2</v>
      </c>
      <c r="C22" s="45"/>
      <c r="D22" s="45"/>
      <c r="E22" s="45"/>
      <c r="G22" s="2"/>
      <c r="H22" s="2">
        <f t="shared" si="2"/>
        <v>1016</v>
      </c>
      <c r="I22" s="3"/>
      <c r="J22" s="3">
        <f t="shared" si="3"/>
        <v>2016</v>
      </c>
      <c r="L22" s="37"/>
      <c r="M22" s="2"/>
      <c r="N22" s="3"/>
      <c r="O22" s="3"/>
      <c r="Q22" s="37"/>
      <c r="R22" s="2"/>
      <c r="S22" s="3"/>
      <c r="T22" s="3"/>
    </row>
    <row r="23" spans="2:20" x14ac:dyDescent="0.3">
      <c r="B23" s="45"/>
      <c r="C23" s="45"/>
      <c r="D23" s="45"/>
      <c r="E23" s="45"/>
      <c r="G23" s="2"/>
      <c r="H23" s="2">
        <f t="shared" si="2"/>
        <v>1017</v>
      </c>
      <c r="I23" s="3"/>
      <c r="J23" s="3">
        <f t="shared" si="3"/>
        <v>2017</v>
      </c>
      <c r="L23" s="37"/>
      <c r="M23" s="2"/>
      <c r="N23" s="3"/>
      <c r="O23" s="3"/>
      <c r="Q23" s="37"/>
      <c r="R23" s="2"/>
      <c r="S23" s="3"/>
      <c r="T23" s="3"/>
    </row>
    <row r="24" spans="2:20" x14ac:dyDescent="0.3">
      <c r="G24" s="2"/>
      <c r="H24" s="2">
        <f t="shared" si="2"/>
        <v>1018</v>
      </c>
      <c r="I24" s="3"/>
      <c r="J24" s="3">
        <f t="shared" si="3"/>
        <v>2018</v>
      </c>
      <c r="L24" s="37"/>
      <c r="M24" s="2"/>
      <c r="N24" s="3"/>
      <c r="O24" s="3"/>
      <c r="Q24" s="37"/>
      <c r="R24" s="2"/>
      <c r="S24" s="3"/>
      <c r="T24" s="3"/>
    </row>
    <row r="25" spans="2:20" x14ac:dyDescent="0.3">
      <c r="G25" s="2"/>
      <c r="H25" s="2">
        <f t="shared" si="2"/>
        <v>1019</v>
      </c>
      <c r="I25" s="3"/>
      <c r="J25" s="3">
        <f t="shared" si="3"/>
        <v>2019</v>
      </c>
      <c r="L25" s="2"/>
      <c r="M25" s="2"/>
      <c r="N25" s="3"/>
      <c r="O25" s="3"/>
      <c r="Q25" s="2"/>
      <c r="R25" s="2"/>
      <c r="S25" s="3"/>
      <c r="T25" s="3"/>
    </row>
    <row r="26" spans="2:20" x14ac:dyDescent="0.3">
      <c r="L26" s="38" t="s">
        <v>22</v>
      </c>
      <c r="M26" s="38"/>
      <c r="N26" s="38"/>
      <c r="O26" s="38"/>
      <c r="Q26" s="38" t="s">
        <v>22</v>
      </c>
      <c r="R26" s="38"/>
      <c r="S26" s="38"/>
      <c r="T26" s="38"/>
    </row>
    <row r="27" spans="2:20" x14ac:dyDescent="0.3">
      <c r="G27" s="40" t="s">
        <v>30</v>
      </c>
      <c r="H27" s="41"/>
      <c r="I27" s="41"/>
      <c r="J27" s="42"/>
      <c r="L27" s="39" t="s">
        <v>11</v>
      </c>
      <c r="M27" s="39"/>
      <c r="N27" s="39" t="s">
        <v>11</v>
      </c>
      <c r="O27" s="39"/>
      <c r="Q27" s="39" t="s">
        <v>11</v>
      </c>
      <c r="R27" s="39"/>
      <c r="S27" s="39" t="s">
        <v>11</v>
      </c>
      <c r="T27" s="39"/>
    </row>
    <row r="28" spans="2:20" x14ac:dyDescent="0.3">
      <c r="G28" s="2" t="s">
        <v>10</v>
      </c>
      <c r="H28" s="2"/>
      <c r="I28" s="3" t="s">
        <v>11</v>
      </c>
      <c r="J28" s="3"/>
      <c r="L28" s="3" t="s">
        <v>23</v>
      </c>
      <c r="M28" s="3">
        <v>3400</v>
      </c>
      <c r="N28" s="3" t="s">
        <v>25</v>
      </c>
      <c r="O28" s="3">
        <v>3600</v>
      </c>
      <c r="Q28" s="3" t="s">
        <v>23</v>
      </c>
      <c r="R28" s="3">
        <v>4400</v>
      </c>
      <c r="S28" s="3" t="s">
        <v>25</v>
      </c>
      <c r="T28" s="3">
        <v>4600</v>
      </c>
    </row>
    <row r="29" spans="2:20" x14ac:dyDescent="0.3">
      <c r="G29" s="2"/>
      <c r="H29" s="2">
        <v>1200</v>
      </c>
      <c r="I29" s="3" t="s">
        <v>9</v>
      </c>
      <c r="J29" s="3">
        <v>2200</v>
      </c>
      <c r="L29" s="3" t="s">
        <v>20</v>
      </c>
      <c r="M29" s="3">
        <f>SUM(M28+2)</f>
        <v>3402</v>
      </c>
      <c r="N29" s="3" t="s">
        <v>20</v>
      </c>
      <c r="O29" s="3">
        <f>SUM(O28+2)</f>
        <v>3602</v>
      </c>
      <c r="Q29" s="3" t="s">
        <v>20</v>
      </c>
      <c r="R29" s="3">
        <f>SUM(R28+2)</f>
        <v>4402</v>
      </c>
      <c r="S29" s="3" t="s">
        <v>20</v>
      </c>
      <c r="T29" s="3">
        <f>SUM(T28+2)</f>
        <v>4602</v>
      </c>
    </row>
    <row r="30" spans="2:20" x14ac:dyDescent="0.3">
      <c r="G30" s="2"/>
      <c r="H30" s="2">
        <f>SUM(H29+1)</f>
        <v>1201</v>
      </c>
      <c r="I30" s="3" t="s">
        <v>5</v>
      </c>
      <c r="J30" s="3">
        <f>SUM(J29+1)</f>
        <v>2201</v>
      </c>
      <c r="L30" s="3">
        <v>3</v>
      </c>
      <c r="M30" s="3">
        <f t="shared" ref="M30:M38" si="8">SUM(M29+2)</f>
        <v>3404</v>
      </c>
      <c r="N30" s="3">
        <v>3</v>
      </c>
      <c r="O30" s="3">
        <f t="shared" ref="O30:O38" si="9">SUM(O29+2)</f>
        <v>3604</v>
      </c>
      <c r="Q30" s="3">
        <v>3</v>
      </c>
      <c r="R30" s="3">
        <f t="shared" ref="R30:R38" si="10">SUM(R29+2)</f>
        <v>4404</v>
      </c>
      <c r="S30" s="3">
        <v>3</v>
      </c>
      <c r="T30" s="3">
        <f t="shared" ref="T30:T38" si="11">SUM(T29+2)</f>
        <v>4604</v>
      </c>
    </row>
    <row r="31" spans="2:20" x14ac:dyDescent="0.3">
      <c r="G31" s="2"/>
      <c r="H31" s="2">
        <f t="shared" ref="H31:H48" si="12">SUM(H30+1)</f>
        <v>1202</v>
      </c>
      <c r="I31" s="3" t="s">
        <v>6</v>
      </c>
      <c r="J31" s="3">
        <f t="shared" ref="J31:J48" si="13">SUM(J30+1)</f>
        <v>2202</v>
      </c>
      <c r="L31" s="3">
        <v>4</v>
      </c>
      <c r="M31" s="3">
        <f t="shared" si="8"/>
        <v>3406</v>
      </c>
      <c r="N31" s="3">
        <v>4</v>
      </c>
      <c r="O31" s="3">
        <f t="shared" si="9"/>
        <v>3606</v>
      </c>
      <c r="Q31" s="3">
        <v>4</v>
      </c>
      <c r="R31" s="3">
        <f t="shared" si="10"/>
        <v>4406</v>
      </c>
      <c r="S31" s="3">
        <v>4</v>
      </c>
      <c r="T31" s="3">
        <f t="shared" si="11"/>
        <v>4606</v>
      </c>
    </row>
    <row r="32" spans="2:20" x14ac:dyDescent="0.3">
      <c r="G32" s="2" t="s">
        <v>14</v>
      </c>
      <c r="H32" s="2">
        <f t="shared" si="12"/>
        <v>1203</v>
      </c>
      <c r="I32" s="3" t="s">
        <v>13</v>
      </c>
      <c r="J32" s="3">
        <f t="shared" si="13"/>
        <v>2203</v>
      </c>
      <c r="L32" s="3">
        <v>5</v>
      </c>
      <c r="M32" s="3">
        <f t="shared" si="8"/>
        <v>3408</v>
      </c>
      <c r="N32" s="3">
        <v>5</v>
      </c>
      <c r="O32" s="3">
        <f t="shared" si="9"/>
        <v>3608</v>
      </c>
      <c r="Q32" s="3">
        <v>5</v>
      </c>
      <c r="R32" s="3">
        <f t="shared" si="10"/>
        <v>4408</v>
      </c>
      <c r="S32" s="3">
        <v>5</v>
      </c>
      <c r="T32" s="3">
        <f t="shared" si="11"/>
        <v>4608</v>
      </c>
    </row>
    <row r="33" spans="7:20" x14ac:dyDescent="0.3">
      <c r="G33" s="2" t="s">
        <v>16</v>
      </c>
      <c r="H33" s="2">
        <f t="shared" si="12"/>
        <v>1204</v>
      </c>
      <c r="I33" s="3" t="s">
        <v>15</v>
      </c>
      <c r="J33" s="3">
        <f t="shared" si="13"/>
        <v>2204</v>
      </c>
      <c r="L33" s="3" t="s">
        <v>21</v>
      </c>
      <c r="M33" s="3">
        <f t="shared" si="8"/>
        <v>3410</v>
      </c>
      <c r="N33" s="3" t="s">
        <v>21</v>
      </c>
      <c r="O33" s="3">
        <f t="shared" si="9"/>
        <v>3610</v>
      </c>
      <c r="Q33" s="3" t="s">
        <v>21</v>
      </c>
      <c r="R33" s="3">
        <f t="shared" si="10"/>
        <v>4410</v>
      </c>
      <c r="S33" s="3" t="s">
        <v>21</v>
      </c>
      <c r="T33" s="3">
        <f t="shared" si="11"/>
        <v>4610</v>
      </c>
    </row>
    <row r="34" spans="7:20" x14ac:dyDescent="0.3">
      <c r="G34" s="2" t="s">
        <v>8</v>
      </c>
      <c r="H34" s="2">
        <f t="shared" si="12"/>
        <v>1205</v>
      </c>
      <c r="I34" s="3" t="s">
        <v>8</v>
      </c>
      <c r="J34" s="3">
        <f t="shared" si="13"/>
        <v>2205</v>
      </c>
      <c r="L34" s="3" t="s">
        <v>21</v>
      </c>
      <c r="M34" s="3">
        <f t="shared" si="8"/>
        <v>3412</v>
      </c>
      <c r="N34" s="3" t="s">
        <v>21</v>
      </c>
      <c r="O34" s="3">
        <f t="shared" si="9"/>
        <v>3612</v>
      </c>
      <c r="Q34" s="3" t="s">
        <v>21</v>
      </c>
      <c r="R34" s="3">
        <f t="shared" si="10"/>
        <v>4412</v>
      </c>
      <c r="S34" s="3" t="s">
        <v>21</v>
      </c>
      <c r="T34" s="3">
        <f t="shared" si="11"/>
        <v>4612</v>
      </c>
    </row>
    <row r="35" spans="7:20" x14ac:dyDescent="0.3">
      <c r="G35" s="2" t="s">
        <v>17</v>
      </c>
      <c r="H35" s="2">
        <f t="shared" si="12"/>
        <v>1206</v>
      </c>
      <c r="I35" s="3"/>
      <c r="J35" s="3">
        <f t="shared" si="13"/>
        <v>2206</v>
      </c>
      <c r="L35" s="3" t="s">
        <v>21</v>
      </c>
      <c r="M35" s="3">
        <f t="shared" si="8"/>
        <v>3414</v>
      </c>
      <c r="N35" s="3" t="s">
        <v>21</v>
      </c>
      <c r="O35" s="3">
        <f t="shared" si="9"/>
        <v>3614</v>
      </c>
      <c r="Q35" s="3" t="s">
        <v>21</v>
      </c>
      <c r="R35" s="3">
        <f t="shared" si="10"/>
        <v>4414</v>
      </c>
      <c r="S35" s="3" t="s">
        <v>21</v>
      </c>
      <c r="T35" s="3">
        <f t="shared" si="11"/>
        <v>4614</v>
      </c>
    </row>
    <row r="36" spans="7:20" x14ac:dyDescent="0.3">
      <c r="G36" s="2" t="s">
        <v>19</v>
      </c>
      <c r="H36" s="2">
        <f t="shared" si="12"/>
        <v>1207</v>
      </c>
      <c r="I36" s="3" t="s">
        <v>18</v>
      </c>
      <c r="J36" s="3">
        <f t="shared" si="13"/>
        <v>2207</v>
      </c>
      <c r="L36" s="3" t="s">
        <v>21</v>
      </c>
      <c r="M36" s="3">
        <f t="shared" si="8"/>
        <v>3416</v>
      </c>
      <c r="N36" s="3" t="s">
        <v>21</v>
      </c>
      <c r="O36" s="3">
        <f t="shared" si="9"/>
        <v>3616</v>
      </c>
      <c r="Q36" s="3" t="s">
        <v>21</v>
      </c>
      <c r="R36" s="3">
        <f t="shared" si="10"/>
        <v>4416</v>
      </c>
      <c r="S36" s="3" t="s">
        <v>21</v>
      </c>
      <c r="T36" s="3">
        <f t="shared" si="11"/>
        <v>4616</v>
      </c>
    </row>
    <row r="37" spans="7:20" x14ac:dyDescent="0.3">
      <c r="G37" s="6" t="s">
        <v>7</v>
      </c>
      <c r="H37" s="2">
        <f t="shared" si="12"/>
        <v>1208</v>
      </c>
      <c r="I37" s="3"/>
      <c r="J37" s="3">
        <f t="shared" si="13"/>
        <v>2208</v>
      </c>
      <c r="L37" s="3" t="s">
        <v>21</v>
      </c>
      <c r="M37" s="3">
        <f t="shared" si="8"/>
        <v>3418</v>
      </c>
      <c r="N37" s="3" t="s">
        <v>21</v>
      </c>
      <c r="O37" s="3">
        <f t="shared" si="9"/>
        <v>3618</v>
      </c>
      <c r="Q37" s="3" t="s">
        <v>21</v>
      </c>
      <c r="R37" s="3">
        <f t="shared" si="10"/>
        <v>4418</v>
      </c>
      <c r="S37" s="3" t="s">
        <v>21</v>
      </c>
      <c r="T37" s="3">
        <f t="shared" si="11"/>
        <v>4618</v>
      </c>
    </row>
    <row r="38" spans="7:20" x14ac:dyDescent="0.3">
      <c r="G38" s="2"/>
      <c r="H38" s="2">
        <f t="shared" si="12"/>
        <v>1209</v>
      </c>
      <c r="I38" s="3"/>
      <c r="J38" s="3">
        <f t="shared" si="13"/>
        <v>2209</v>
      </c>
      <c r="L38" s="3" t="s">
        <v>21</v>
      </c>
      <c r="M38" s="3">
        <f t="shared" si="8"/>
        <v>3420</v>
      </c>
      <c r="N38" s="3" t="s">
        <v>21</v>
      </c>
      <c r="O38" s="3">
        <f t="shared" si="9"/>
        <v>3620</v>
      </c>
      <c r="Q38" s="3" t="s">
        <v>21</v>
      </c>
      <c r="R38" s="3">
        <f t="shared" si="10"/>
        <v>4420</v>
      </c>
      <c r="S38" s="3" t="s">
        <v>21</v>
      </c>
      <c r="T38" s="3">
        <f t="shared" si="11"/>
        <v>4620</v>
      </c>
    </row>
    <row r="39" spans="7:20" x14ac:dyDescent="0.3">
      <c r="G39" s="2"/>
      <c r="H39" s="2">
        <f t="shared" si="12"/>
        <v>1210</v>
      </c>
      <c r="I39" s="4" t="s">
        <v>12</v>
      </c>
      <c r="J39" s="3">
        <f t="shared" si="13"/>
        <v>2210</v>
      </c>
      <c r="L39" s="3">
        <v>100</v>
      </c>
      <c r="M39" s="3">
        <v>3598</v>
      </c>
      <c r="N39" s="3">
        <v>100</v>
      </c>
      <c r="O39" s="3">
        <v>3798</v>
      </c>
      <c r="Q39" s="3">
        <v>100</v>
      </c>
      <c r="R39" s="3">
        <v>4598</v>
      </c>
      <c r="S39" s="3">
        <v>100</v>
      </c>
      <c r="T39" s="3">
        <v>4798</v>
      </c>
    </row>
    <row r="40" spans="7:20" x14ac:dyDescent="0.3">
      <c r="G40" s="2"/>
      <c r="H40" s="2">
        <f t="shared" si="12"/>
        <v>1211</v>
      </c>
      <c r="I40" s="3"/>
      <c r="J40" s="3">
        <f t="shared" si="13"/>
        <v>2211</v>
      </c>
      <c r="L40" s="3"/>
      <c r="M40" s="3"/>
      <c r="N40" s="3"/>
      <c r="O40" s="3"/>
      <c r="Q40" s="3"/>
      <c r="R40" s="3"/>
      <c r="S40" s="3"/>
      <c r="T40" s="3"/>
    </row>
    <row r="41" spans="7:20" x14ac:dyDescent="0.3">
      <c r="G41" s="2"/>
      <c r="H41" s="2">
        <f t="shared" si="12"/>
        <v>1212</v>
      </c>
      <c r="I41" s="5" t="s">
        <v>26</v>
      </c>
      <c r="J41" s="3">
        <f t="shared" si="13"/>
        <v>2212</v>
      </c>
      <c r="L41" s="3"/>
      <c r="M41" s="3"/>
      <c r="N41" s="3"/>
      <c r="O41" s="3"/>
      <c r="Q41" s="3"/>
      <c r="R41" s="3"/>
      <c r="S41" s="3"/>
      <c r="T41" s="3"/>
    </row>
    <row r="42" spans="7:20" x14ac:dyDescent="0.3">
      <c r="G42" s="2"/>
      <c r="H42" s="2">
        <f t="shared" si="12"/>
        <v>1213</v>
      </c>
      <c r="I42" s="3"/>
      <c r="J42" s="3">
        <f t="shared" si="13"/>
        <v>2213</v>
      </c>
      <c r="L42" s="3"/>
      <c r="M42" s="3"/>
      <c r="N42" s="3"/>
      <c r="O42" s="3"/>
      <c r="Q42" s="3"/>
      <c r="R42" s="3"/>
      <c r="S42" s="3"/>
      <c r="T42" s="3"/>
    </row>
    <row r="43" spans="7:20" x14ac:dyDescent="0.3">
      <c r="G43" s="2"/>
      <c r="H43" s="2">
        <f t="shared" si="12"/>
        <v>1214</v>
      </c>
      <c r="I43" s="3"/>
      <c r="J43" s="3">
        <f t="shared" si="13"/>
        <v>2214</v>
      </c>
      <c r="L43" s="3"/>
      <c r="M43" s="3"/>
      <c r="N43" s="3"/>
      <c r="O43" s="3"/>
      <c r="Q43" s="3"/>
      <c r="R43" s="3"/>
      <c r="S43" s="3"/>
      <c r="T43" s="3"/>
    </row>
    <row r="44" spans="7:20" x14ac:dyDescent="0.3">
      <c r="G44" s="2"/>
      <c r="H44" s="2">
        <f t="shared" si="12"/>
        <v>1215</v>
      </c>
      <c r="I44" s="3"/>
      <c r="J44" s="3">
        <f t="shared" si="13"/>
        <v>2215</v>
      </c>
      <c r="L44" s="3"/>
      <c r="M44" s="3"/>
      <c r="N44" s="3"/>
      <c r="O44" s="3"/>
      <c r="Q44" s="3"/>
      <c r="R44" s="3"/>
      <c r="S44" s="3"/>
      <c r="T44" s="3"/>
    </row>
    <row r="45" spans="7:20" x14ac:dyDescent="0.3">
      <c r="G45" s="2"/>
      <c r="H45" s="2">
        <f t="shared" si="12"/>
        <v>1216</v>
      </c>
      <c r="I45" s="3"/>
      <c r="J45" s="3">
        <f t="shared" si="13"/>
        <v>2216</v>
      </c>
      <c r="L45" s="3"/>
      <c r="M45" s="3"/>
      <c r="N45" s="3"/>
      <c r="O45" s="3"/>
      <c r="Q45" s="3"/>
      <c r="R45" s="3"/>
      <c r="S45" s="3"/>
      <c r="T45" s="3"/>
    </row>
    <row r="46" spans="7:20" x14ac:dyDescent="0.3">
      <c r="G46" s="2"/>
      <c r="H46" s="2">
        <f t="shared" si="12"/>
        <v>1217</v>
      </c>
      <c r="I46" s="3"/>
      <c r="J46" s="3">
        <f t="shared" si="13"/>
        <v>2217</v>
      </c>
      <c r="L46" s="3"/>
      <c r="M46" s="3"/>
      <c r="N46" s="3"/>
      <c r="O46" s="3"/>
      <c r="Q46" s="3"/>
      <c r="R46" s="3"/>
      <c r="S46" s="3"/>
      <c r="T46" s="3"/>
    </row>
    <row r="47" spans="7:20" x14ac:dyDescent="0.3">
      <c r="G47" s="2"/>
      <c r="H47" s="2">
        <f t="shared" si="12"/>
        <v>1218</v>
      </c>
      <c r="I47" s="3"/>
      <c r="J47" s="3">
        <f t="shared" si="13"/>
        <v>2218</v>
      </c>
      <c r="L47" s="3"/>
      <c r="M47" s="3"/>
      <c r="N47" s="3"/>
      <c r="O47" s="3"/>
      <c r="Q47" s="3"/>
      <c r="R47" s="3"/>
      <c r="S47" s="3"/>
      <c r="T47" s="3"/>
    </row>
    <row r="48" spans="7:20" x14ac:dyDescent="0.3">
      <c r="G48" s="2"/>
      <c r="H48" s="2">
        <f t="shared" si="12"/>
        <v>1219</v>
      </c>
      <c r="I48" s="3"/>
      <c r="J48" s="3">
        <f t="shared" si="13"/>
        <v>2219</v>
      </c>
    </row>
    <row r="80" spans="16:16" x14ac:dyDescent="0.3">
      <c r="P80" s="1" t="s">
        <v>31</v>
      </c>
    </row>
    <row r="81" spans="16:16" x14ac:dyDescent="0.3">
      <c r="P81" s="1" t="s">
        <v>32</v>
      </c>
    </row>
    <row r="82" spans="16:16" x14ac:dyDescent="0.3">
      <c r="P82" s="1" t="s">
        <v>33</v>
      </c>
    </row>
    <row r="83" spans="16:16" x14ac:dyDescent="0.3">
      <c r="P83" s="1" t="s">
        <v>34</v>
      </c>
    </row>
    <row r="84" spans="16:16" x14ac:dyDescent="0.3">
      <c r="P84" s="1" t="s">
        <v>35</v>
      </c>
    </row>
    <row r="85" spans="16:16" x14ac:dyDescent="0.3">
      <c r="P85" s="1" t="s">
        <v>36</v>
      </c>
    </row>
    <row r="86" spans="16:16" x14ac:dyDescent="0.3">
      <c r="P86" s="1" t="s">
        <v>37</v>
      </c>
    </row>
    <row r="87" spans="16:16" x14ac:dyDescent="0.3">
      <c r="P87" s="1" t="s">
        <v>38</v>
      </c>
    </row>
    <row r="88" spans="16:16" x14ac:dyDescent="0.3">
      <c r="P88" s="1" t="s">
        <v>39</v>
      </c>
    </row>
    <row r="89" spans="16:16" x14ac:dyDescent="0.3">
      <c r="P89" s="1" t="s">
        <v>40</v>
      </c>
    </row>
    <row r="90" spans="16:16" x14ac:dyDescent="0.3">
      <c r="P90" s="1" t="s">
        <v>41</v>
      </c>
    </row>
    <row r="91" spans="16:16" x14ac:dyDescent="0.3">
      <c r="P91" s="1" t="s">
        <v>42</v>
      </c>
    </row>
    <row r="92" spans="16:16" x14ac:dyDescent="0.3">
      <c r="P92" s="1" t="s">
        <v>43</v>
      </c>
    </row>
    <row r="93" spans="16:16" x14ac:dyDescent="0.3">
      <c r="P93" s="1" t="s">
        <v>44</v>
      </c>
    </row>
    <row r="94" spans="16:16" x14ac:dyDescent="0.3">
      <c r="P94" s="1" t="s">
        <v>45</v>
      </c>
    </row>
    <row r="95" spans="16:16" x14ac:dyDescent="0.3">
      <c r="P95" s="1" t="s">
        <v>46</v>
      </c>
    </row>
    <row r="96" spans="16:16" x14ac:dyDescent="0.3">
      <c r="P96" s="1" t="s">
        <v>47</v>
      </c>
    </row>
    <row r="97" spans="16:16" x14ac:dyDescent="0.3">
      <c r="P97" s="1" t="s">
        <v>48</v>
      </c>
    </row>
    <row r="98" spans="16:16" x14ac:dyDescent="0.3">
      <c r="P98" s="1" t="s">
        <v>49</v>
      </c>
    </row>
    <row r="99" spans="16:16" x14ac:dyDescent="0.3">
      <c r="P99" s="1" t="s">
        <v>50</v>
      </c>
    </row>
    <row r="100" spans="16:16" x14ac:dyDescent="0.3">
      <c r="P100" s="1" t="s">
        <v>51</v>
      </c>
    </row>
    <row r="101" spans="16:16" x14ac:dyDescent="0.3">
      <c r="P101" s="1" t="s">
        <v>52</v>
      </c>
    </row>
    <row r="102" spans="16:16" x14ac:dyDescent="0.3">
      <c r="P102" s="1" t="s">
        <v>53</v>
      </c>
    </row>
    <row r="103" spans="16:16" x14ac:dyDescent="0.3">
      <c r="P103" s="1" t="s">
        <v>54</v>
      </c>
    </row>
    <row r="104" spans="16:16" x14ac:dyDescent="0.3">
      <c r="P104" s="1" t="s">
        <v>55</v>
      </c>
    </row>
    <row r="105" spans="16:16" x14ac:dyDescent="0.3">
      <c r="P105" s="1" t="s">
        <v>56</v>
      </c>
    </row>
    <row r="106" spans="16:16" x14ac:dyDescent="0.3">
      <c r="P106" s="1" t="s">
        <v>57</v>
      </c>
    </row>
    <row r="107" spans="16:16" x14ac:dyDescent="0.3">
      <c r="P107" s="1" t="s">
        <v>58</v>
      </c>
    </row>
    <row r="108" spans="16:16" x14ac:dyDescent="0.3">
      <c r="P108" s="1" t="s">
        <v>59</v>
      </c>
    </row>
    <row r="109" spans="16:16" x14ac:dyDescent="0.3">
      <c r="P109" s="1" t="s">
        <v>60</v>
      </c>
    </row>
    <row r="110" spans="16:16" x14ac:dyDescent="0.3">
      <c r="P110" s="1" t="s">
        <v>61</v>
      </c>
    </row>
    <row r="111" spans="16:16" x14ac:dyDescent="0.3">
      <c r="P111" s="1" t="s">
        <v>62</v>
      </c>
    </row>
    <row r="112" spans="16:16" x14ac:dyDescent="0.3">
      <c r="P112" s="1" t="s">
        <v>63</v>
      </c>
    </row>
    <row r="113" spans="16:16" x14ac:dyDescent="0.3">
      <c r="P113" s="1" t="s">
        <v>64</v>
      </c>
    </row>
    <row r="114" spans="16:16" x14ac:dyDescent="0.3">
      <c r="P114" s="1" t="s">
        <v>65</v>
      </c>
    </row>
    <row r="115" spans="16:16" x14ac:dyDescent="0.3">
      <c r="P115" s="1" t="s">
        <v>66</v>
      </c>
    </row>
    <row r="116" spans="16:16" x14ac:dyDescent="0.3">
      <c r="P116" s="1" t="s">
        <v>67</v>
      </c>
    </row>
    <row r="117" spans="16:16" x14ac:dyDescent="0.3">
      <c r="P117" s="1" t="s">
        <v>68</v>
      </c>
    </row>
    <row r="118" spans="16:16" x14ac:dyDescent="0.3">
      <c r="P118" s="1" t="s">
        <v>69</v>
      </c>
    </row>
    <row r="119" spans="16:16" x14ac:dyDescent="0.3">
      <c r="P119" s="1" t="s">
        <v>70</v>
      </c>
    </row>
    <row r="120" spans="16:16" x14ac:dyDescent="0.3">
      <c r="P120" s="1" t="s">
        <v>71</v>
      </c>
    </row>
    <row r="121" spans="16:16" x14ac:dyDescent="0.3">
      <c r="P121" s="1" t="s">
        <v>72</v>
      </c>
    </row>
    <row r="122" spans="16:16" x14ac:dyDescent="0.3">
      <c r="P122" s="1" t="s">
        <v>73</v>
      </c>
    </row>
    <row r="123" spans="16:16" x14ac:dyDescent="0.3">
      <c r="P123" s="1" t="s">
        <v>74</v>
      </c>
    </row>
    <row r="124" spans="16:16" x14ac:dyDescent="0.3">
      <c r="P124" s="1" t="s">
        <v>75</v>
      </c>
    </row>
    <row r="125" spans="16:16" x14ac:dyDescent="0.3">
      <c r="P125" s="1" t="s">
        <v>76</v>
      </c>
    </row>
    <row r="126" spans="16:16" x14ac:dyDescent="0.3">
      <c r="P126" s="1" t="s">
        <v>77</v>
      </c>
    </row>
    <row r="127" spans="16:16" x14ac:dyDescent="0.3">
      <c r="P127" s="1" t="s">
        <v>78</v>
      </c>
    </row>
    <row r="128" spans="16:16" x14ac:dyDescent="0.3">
      <c r="P128" s="1" t="s">
        <v>79</v>
      </c>
    </row>
    <row r="129" spans="16:16" x14ac:dyDescent="0.3">
      <c r="P129" s="1" t="s">
        <v>80</v>
      </c>
    </row>
  </sheetData>
  <mergeCells count="23">
    <mergeCell ref="Q4:T4"/>
    <mergeCell ref="Q5:R5"/>
    <mergeCell ref="S5:T5"/>
    <mergeCell ref="N5:O5"/>
    <mergeCell ref="G27:J27"/>
    <mergeCell ref="L27:M27"/>
    <mergeCell ref="N27:O27"/>
    <mergeCell ref="A2:A3"/>
    <mergeCell ref="B22:E23"/>
    <mergeCell ref="G5:H5"/>
    <mergeCell ref="I5:J5"/>
    <mergeCell ref="B5:C5"/>
    <mergeCell ref="D5:E5"/>
    <mergeCell ref="B4:E4"/>
    <mergeCell ref="G4:J4"/>
    <mergeCell ref="L4:O4"/>
    <mergeCell ref="L5:M5"/>
    <mergeCell ref="L19:L24"/>
    <mergeCell ref="Q19:Q24"/>
    <mergeCell ref="Q26:T26"/>
    <mergeCell ref="L26:O26"/>
    <mergeCell ref="Q27:R27"/>
    <mergeCell ref="S27:T27"/>
  </mergeCells>
  <phoneticPr fontId="2" type="noConversion"/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67"/>
  <sheetViews>
    <sheetView tabSelected="1" zoomScale="50" zoomScaleNormal="50" workbookViewId="0">
      <selection activeCell="Y21" sqref="Y21:Y22"/>
    </sheetView>
  </sheetViews>
  <sheetFormatPr defaultRowHeight="16.5" x14ac:dyDescent="0.3"/>
  <cols>
    <col min="3" max="3" width="7.75" customWidth="1"/>
    <col min="5" max="5" width="7.375" customWidth="1"/>
    <col min="6" max="6" width="3.625" customWidth="1"/>
    <col min="7" max="7" width="20" customWidth="1"/>
    <col min="8" max="8" width="10.875" customWidth="1"/>
    <col min="9" max="9" width="7.25" customWidth="1"/>
    <col min="10" max="10" width="29.25" customWidth="1"/>
    <col min="11" max="11" width="11.25" customWidth="1"/>
    <col min="12" max="12" width="8.625" customWidth="1"/>
    <col min="13" max="13" width="3.25" customWidth="1"/>
    <col min="14" max="14" width="20" customWidth="1"/>
    <col min="15" max="15" width="9.875" customWidth="1"/>
    <col min="16" max="16" width="7.75" customWidth="1"/>
    <col min="17" max="17" width="2.75" style="24" customWidth="1"/>
    <col min="18" max="18" width="20" customWidth="1"/>
    <col min="19" max="19" width="9.875" customWidth="1"/>
    <col min="20" max="20" width="7.75" customWidth="1"/>
    <col min="21" max="21" width="2.375" customWidth="1"/>
    <col min="22" max="22" width="34" customWidth="1"/>
    <col min="23" max="23" width="14.25" customWidth="1"/>
    <col min="24" max="24" width="2.5" customWidth="1"/>
    <col min="25" max="25" width="34" customWidth="1"/>
    <col min="26" max="26" width="14.25" customWidth="1"/>
    <col min="27" max="27" width="2.75" customWidth="1"/>
    <col min="28" max="28" width="26.5" customWidth="1"/>
    <col min="29" max="29" width="16.25" customWidth="1"/>
  </cols>
  <sheetData>
    <row r="1" spans="2:29" ht="17.25" thickBot="1" x14ac:dyDescent="0.35"/>
    <row r="2" spans="2:29" ht="57.75" customHeight="1" thickBot="1" x14ac:dyDescent="0.35">
      <c r="B2" s="46" t="s">
        <v>87</v>
      </c>
      <c r="C2" s="47"/>
      <c r="D2" s="47"/>
      <c r="E2" s="48"/>
      <c r="G2" s="72" t="s">
        <v>88</v>
      </c>
      <c r="H2" s="47"/>
      <c r="I2" s="47"/>
      <c r="J2" s="47"/>
      <c r="K2" s="47"/>
      <c r="L2" s="48"/>
      <c r="N2" s="72" t="s">
        <v>99</v>
      </c>
      <c r="O2" s="47"/>
      <c r="P2" s="48"/>
      <c r="Q2" s="31"/>
      <c r="R2" s="72" t="s">
        <v>99</v>
      </c>
      <c r="S2" s="47"/>
      <c r="T2" s="48"/>
      <c r="U2" s="25"/>
      <c r="V2" s="72" t="s">
        <v>100</v>
      </c>
      <c r="W2" s="48"/>
      <c r="Y2" s="72" t="s">
        <v>122</v>
      </c>
      <c r="Z2" s="48"/>
      <c r="AB2" s="72" t="s">
        <v>122</v>
      </c>
      <c r="AC2" s="48"/>
    </row>
    <row r="3" spans="2:29" ht="17.25" thickBot="1" x14ac:dyDescent="0.35">
      <c r="B3" s="49" t="s">
        <v>81</v>
      </c>
      <c r="C3" s="50"/>
      <c r="D3" s="51" t="s">
        <v>82</v>
      </c>
      <c r="E3" s="52"/>
      <c r="G3" s="49" t="s">
        <v>83</v>
      </c>
      <c r="H3" s="59"/>
      <c r="I3" s="59"/>
      <c r="J3" s="59"/>
      <c r="K3" s="59"/>
      <c r="L3" s="60"/>
      <c r="N3" s="49" t="s">
        <v>83</v>
      </c>
      <c r="O3" s="59"/>
      <c r="P3" s="60"/>
      <c r="Q3" s="27"/>
      <c r="R3" s="81" t="s">
        <v>83</v>
      </c>
      <c r="S3" s="82"/>
      <c r="T3" s="52"/>
      <c r="U3" s="26"/>
      <c r="V3" s="78"/>
      <c r="W3" s="79"/>
      <c r="Y3" s="78" t="s">
        <v>113</v>
      </c>
      <c r="Z3" s="79"/>
      <c r="AB3" s="78" t="s">
        <v>123</v>
      </c>
      <c r="AC3" s="79"/>
    </row>
    <row r="4" spans="2:29" ht="17.25" thickBot="1" x14ac:dyDescent="0.35">
      <c r="B4" s="53">
        <v>4000</v>
      </c>
      <c r="C4" s="7">
        <v>0</v>
      </c>
      <c r="D4" s="55">
        <v>4004</v>
      </c>
      <c r="E4" s="15">
        <v>0</v>
      </c>
      <c r="G4" s="61" t="s">
        <v>10</v>
      </c>
      <c r="H4" s="62"/>
      <c r="I4" s="63"/>
      <c r="J4" s="64" t="s">
        <v>11</v>
      </c>
      <c r="K4" s="65"/>
      <c r="L4" s="66"/>
      <c r="N4" s="61" t="s">
        <v>10</v>
      </c>
      <c r="O4" s="62"/>
      <c r="P4" s="73"/>
      <c r="Q4" s="27"/>
      <c r="R4" s="80" t="s">
        <v>10</v>
      </c>
      <c r="S4" s="65"/>
      <c r="T4" s="66"/>
      <c r="U4" s="27"/>
      <c r="V4" s="78"/>
      <c r="W4" s="79"/>
      <c r="Y4" s="78"/>
      <c r="Z4" s="79"/>
      <c r="AB4" s="78"/>
      <c r="AC4" s="79"/>
    </row>
    <row r="5" spans="2:29" x14ac:dyDescent="0.3">
      <c r="B5" s="54"/>
      <c r="C5" s="7">
        <v>1</v>
      </c>
      <c r="D5" s="56"/>
      <c r="E5" s="15">
        <v>1</v>
      </c>
      <c r="G5" s="8" t="s">
        <v>9</v>
      </c>
      <c r="H5" s="67">
        <v>4008</v>
      </c>
      <c r="I5" s="2">
        <v>0</v>
      </c>
      <c r="J5" s="3" t="s">
        <v>9</v>
      </c>
      <c r="K5" s="55">
        <v>4009</v>
      </c>
      <c r="L5" s="9">
        <v>0</v>
      </c>
      <c r="N5" s="8" t="s">
        <v>101</v>
      </c>
      <c r="O5" s="67">
        <v>4012</v>
      </c>
      <c r="P5" s="23">
        <v>0</v>
      </c>
      <c r="Q5" s="27"/>
      <c r="R5" s="21" t="s">
        <v>95</v>
      </c>
      <c r="S5" s="55">
        <v>4014</v>
      </c>
      <c r="T5" s="9">
        <v>0</v>
      </c>
      <c r="U5" s="27"/>
      <c r="V5" s="76" t="s">
        <v>89</v>
      </c>
      <c r="W5" s="18">
        <v>5000</v>
      </c>
      <c r="Y5" s="76" t="s">
        <v>114</v>
      </c>
      <c r="Z5" s="18">
        <v>6000</v>
      </c>
      <c r="AB5" s="76" t="s">
        <v>114</v>
      </c>
      <c r="AC5" s="18">
        <v>6016</v>
      </c>
    </row>
    <row r="6" spans="2:29" ht="17.25" thickBot="1" x14ac:dyDescent="0.35">
      <c r="B6" s="54"/>
      <c r="C6" s="7">
        <v>2</v>
      </c>
      <c r="D6" s="56"/>
      <c r="E6" s="15">
        <v>2</v>
      </c>
      <c r="G6" s="8" t="s">
        <v>14</v>
      </c>
      <c r="H6" s="68"/>
      <c r="I6" s="2">
        <v>1</v>
      </c>
      <c r="J6" s="3" t="s">
        <v>5</v>
      </c>
      <c r="K6" s="56"/>
      <c r="L6" s="9">
        <f>SUM(L5+1)</f>
        <v>1</v>
      </c>
      <c r="N6" s="8" t="s">
        <v>102</v>
      </c>
      <c r="O6" s="68"/>
      <c r="P6" s="23">
        <v>1</v>
      </c>
      <c r="Q6" s="27"/>
      <c r="R6" s="21" t="s">
        <v>96</v>
      </c>
      <c r="S6" s="56"/>
      <c r="T6" s="9">
        <v>1</v>
      </c>
      <c r="U6" s="27"/>
      <c r="V6" s="77"/>
      <c r="W6" s="19">
        <f>SUM(W5+1)</f>
        <v>5001</v>
      </c>
      <c r="Y6" s="77"/>
      <c r="Z6" s="19">
        <f>SUM(Z5+1)</f>
        <v>6001</v>
      </c>
      <c r="AB6" s="77"/>
      <c r="AC6" s="19">
        <f>SUM(AC5+1)</f>
        <v>6017</v>
      </c>
    </row>
    <row r="7" spans="2:29" ht="17.25" thickBot="1" x14ac:dyDescent="0.35">
      <c r="B7" s="54"/>
      <c r="C7" s="7">
        <v>3</v>
      </c>
      <c r="D7" s="56"/>
      <c r="E7" s="15">
        <v>3</v>
      </c>
      <c r="G7" s="8" t="s">
        <v>16</v>
      </c>
      <c r="H7" s="68"/>
      <c r="I7" s="2">
        <v>2</v>
      </c>
      <c r="J7" s="3" t="s">
        <v>6</v>
      </c>
      <c r="K7" s="56"/>
      <c r="L7" s="9">
        <f t="shared" ref="L7:L20" si="0">SUM(L6+1)</f>
        <v>2</v>
      </c>
      <c r="N7" s="8" t="s">
        <v>103</v>
      </c>
      <c r="O7" s="68"/>
      <c r="P7" s="23">
        <v>2</v>
      </c>
      <c r="Q7" s="27"/>
      <c r="R7" s="21" t="s">
        <v>97</v>
      </c>
      <c r="S7" s="56"/>
      <c r="T7" s="9">
        <v>2</v>
      </c>
      <c r="U7" s="27"/>
      <c r="V7" s="74" t="s">
        <v>90</v>
      </c>
      <c r="W7" s="14">
        <f t="shared" ref="W7:W16" si="1">SUM(W6+1)</f>
        <v>5002</v>
      </c>
      <c r="Y7" s="74" t="s">
        <v>115</v>
      </c>
      <c r="Z7" s="14">
        <f t="shared" ref="Z7:Z20" si="2">SUM(Z6+1)</f>
        <v>6002</v>
      </c>
      <c r="AB7" s="74" t="s">
        <v>115</v>
      </c>
      <c r="AC7" s="14">
        <f t="shared" ref="AC7:AC20" si="3">SUM(AC6+1)</f>
        <v>6018</v>
      </c>
    </row>
    <row r="8" spans="2:29" ht="17.25" thickBot="1" x14ac:dyDescent="0.35">
      <c r="B8" s="54"/>
      <c r="C8" s="7">
        <v>4</v>
      </c>
      <c r="D8" s="56"/>
      <c r="E8" s="15">
        <v>4</v>
      </c>
      <c r="G8" s="8" t="s">
        <v>84</v>
      </c>
      <c r="H8" s="68"/>
      <c r="I8" s="2">
        <v>3</v>
      </c>
      <c r="J8" s="3" t="s">
        <v>13</v>
      </c>
      <c r="K8" s="56"/>
      <c r="L8" s="9">
        <f t="shared" si="0"/>
        <v>3</v>
      </c>
      <c r="N8" s="8" t="s">
        <v>104</v>
      </c>
      <c r="O8" s="68"/>
      <c r="P8" s="23">
        <v>3</v>
      </c>
      <c r="Q8" s="27"/>
      <c r="R8" s="21" t="s">
        <v>98</v>
      </c>
      <c r="S8" s="56"/>
      <c r="T8" s="9">
        <v>3</v>
      </c>
      <c r="U8" s="27"/>
      <c r="V8" s="75"/>
      <c r="W8" s="14">
        <f t="shared" si="1"/>
        <v>5003</v>
      </c>
      <c r="Y8" s="75"/>
      <c r="Z8" s="14">
        <f t="shared" si="2"/>
        <v>6003</v>
      </c>
      <c r="AB8" s="75"/>
      <c r="AC8" s="14">
        <f t="shared" si="3"/>
        <v>6019</v>
      </c>
    </row>
    <row r="9" spans="2:29" ht="17.25" thickBot="1" x14ac:dyDescent="0.35">
      <c r="B9" s="54"/>
      <c r="C9" s="7">
        <v>5</v>
      </c>
      <c r="D9" s="56"/>
      <c r="E9" s="15">
        <v>5</v>
      </c>
      <c r="G9" s="8" t="s">
        <v>85</v>
      </c>
      <c r="H9" s="68"/>
      <c r="I9" s="2">
        <v>4</v>
      </c>
      <c r="J9" s="3" t="s">
        <v>15</v>
      </c>
      <c r="K9" s="56"/>
      <c r="L9" s="9">
        <f t="shared" si="0"/>
        <v>4</v>
      </c>
      <c r="N9" s="8" t="s">
        <v>105</v>
      </c>
      <c r="O9" s="68"/>
      <c r="P9" s="23">
        <v>4</v>
      </c>
      <c r="Q9" s="27"/>
      <c r="R9" s="21" t="s">
        <v>109</v>
      </c>
      <c r="S9" s="56"/>
      <c r="T9" s="9">
        <v>4</v>
      </c>
      <c r="U9" s="27"/>
      <c r="V9" s="74" t="s">
        <v>91</v>
      </c>
      <c r="W9" s="14">
        <f t="shared" si="1"/>
        <v>5004</v>
      </c>
      <c r="Y9" s="76" t="s">
        <v>116</v>
      </c>
      <c r="Z9" s="19">
        <f t="shared" si="2"/>
        <v>6004</v>
      </c>
      <c r="AB9" s="76" t="s">
        <v>116</v>
      </c>
      <c r="AC9" s="19">
        <f t="shared" si="3"/>
        <v>6020</v>
      </c>
    </row>
    <row r="10" spans="2:29" ht="17.25" thickBot="1" x14ac:dyDescent="0.35">
      <c r="B10" s="54"/>
      <c r="C10" s="7">
        <v>6</v>
      </c>
      <c r="D10" s="56"/>
      <c r="E10" s="15">
        <v>6</v>
      </c>
      <c r="G10" s="8" t="s">
        <v>17</v>
      </c>
      <c r="H10" s="68"/>
      <c r="I10" s="2">
        <v>5</v>
      </c>
      <c r="J10" s="3" t="s">
        <v>84</v>
      </c>
      <c r="K10" s="56"/>
      <c r="L10" s="9">
        <f t="shared" si="0"/>
        <v>5</v>
      </c>
      <c r="N10" s="8" t="s">
        <v>106</v>
      </c>
      <c r="O10" s="68"/>
      <c r="P10" s="23">
        <v>5</v>
      </c>
      <c r="Q10" s="27"/>
      <c r="R10" s="21" t="s">
        <v>110</v>
      </c>
      <c r="S10" s="56"/>
      <c r="T10" s="9">
        <v>5</v>
      </c>
      <c r="U10" s="27"/>
      <c r="V10" s="75"/>
      <c r="W10" s="14">
        <f t="shared" si="1"/>
        <v>5005</v>
      </c>
      <c r="Y10" s="77"/>
      <c r="Z10" s="19">
        <f t="shared" si="2"/>
        <v>6005</v>
      </c>
      <c r="AB10" s="77"/>
      <c r="AC10" s="19">
        <f t="shared" si="3"/>
        <v>6021</v>
      </c>
    </row>
    <row r="11" spans="2:29" ht="17.25" thickBot="1" x14ac:dyDescent="0.35">
      <c r="B11" s="54"/>
      <c r="C11" s="7">
        <v>7</v>
      </c>
      <c r="D11" s="56"/>
      <c r="E11" s="15">
        <v>7</v>
      </c>
      <c r="G11" s="8" t="s">
        <v>19</v>
      </c>
      <c r="H11" s="68"/>
      <c r="I11" s="2">
        <f t="shared" ref="I11:I20" si="4">SUM(I10+1)</f>
        <v>6</v>
      </c>
      <c r="J11" s="3" t="s">
        <v>85</v>
      </c>
      <c r="K11" s="56"/>
      <c r="L11" s="9">
        <f t="shared" si="0"/>
        <v>6</v>
      </c>
      <c r="N11" s="8" t="s">
        <v>107</v>
      </c>
      <c r="O11" s="68"/>
      <c r="P11" s="23">
        <f t="shared" ref="P11:P20" si="5">SUM(P10+1)</f>
        <v>6</v>
      </c>
      <c r="Q11" s="27"/>
      <c r="R11" s="21" t="s">
        <v>111</v>
      </c>
      <c r="S11" s="56"/>
      <c r="T11" s="9">
        <f t="shared" ref="T11:T20" si="6">SUM(T10+1)</f>
        <v>6</v>
      </c>
      <c r="U11" s="27"/>
      <c r="V11" s="76" t="s">
        <v>92</v>
      </c>
      <c r="W11" s="19">
        <f t="shared" si="1"/>
        <v>5006</v>
      </c>
      <c r="Y11" s="74" t="s">
        <v>117</v>
      </c>
      <c r="Z11" s="14">
        <f t="shared" si="2"/>
        <v>6006</v>
      </c>
      <c r="AB11" s="74" t="s">
        <v>117</v>
      </c>
      <c r="AC11" s="14">
        <f t="shared" si="3"/>
        <v>6022</v>
      </c>
    </row>
    <row r="12" spans="2:29" ht="17.25" thickBot="1" x14ac:dyDescent="0.35">
      <c r="B12" s="54"/>
      <c r="C12" s="7">
        <v>8</v>
      </c>
      <c r="D12" s="56"/>
      <c r="E12" s="15">
        <v>8</v>
      </c>
      <c r="G12" s="8" t="s">
        <v>136</v>
      </c>
      <c r="H12" s="68"/>
      <c r="I12" s="2">
        <f t="shared" si="4"/>
        <v>7</v>
      </c>
      <c r="J12" s="3" t="s">
        <v>18</v>
      </c>
      <c r="K12" s="56"/>
      <c r="L12" s="9">
        <f t="shared" si="0"/>
        <v>7</v>
      </c>
      <c r="N12" s="8" t="s">
        <v>108</v>
      </c>
      <c r="O12" s="68"/>
      <c r="P12" s="23">
        <f t="shared" si="5"/>
        <v>7</v>
      </c>
      <c r="Q12" s="27"/>
      <c r="R12" s="21" t="s">
        <v>112</v>
      </c>
      <c r="S12" s="56"/>
      <c r="T12" s="9">
        <f t="shared" si="6"/>
        <v>7</v>
      </c>
      <c r="U12" s="27"/>
      <c r="V12" s="77"/>
      <c r="W12" s="19">
        <f t="shared" si="1"/>
        <v>5007</v>
      </c>
      <c r="Y12" s="75"/>
      <c r="Z12" s="14">
        <f t="shared" si="2"/>
        <v>6007</v>
      </c>
      <c r="AB12" s="75"/>
      <c r="AC12" s="14">
        <f t="shared" si="3"/>
        <v>6023</v>
      </c>
    </row>
    <row r="13" spans="2:29" ht="17.25" thickBot="1" x14ac:dyDescent="0.35">
      <c r="B13" s="54"/>
      <c r="C13" s="7">
        <v>9</v>
      </c>
      <c r="D13" s="56"/>
      <c r="E13" s="15">
        <v>9</v>
      </c>
      <c r="G13" s="10"/>
      <c r="H13" s="68"/>
      <c r="I13" s="2">
        <f t="shared" si="4"/>
        <v>8</v>
      </c>
      <c r="J13" s="3" t="s">
        <v>132</v>
      </c>
      <c r="K13" s="56"/>
      <c r="L13" s="9">
        <f t="shared" si="0"/>
        <v>8</v>
      </c>
      <c r="N13" s="10"/>
      <c r="O13" s="68"/>
      <c r="P13" s="23">
        <f t="shared" si="5"/>
        <v>8</v>
      </c>
      <c r="Q13" s="27"/>
      <c r="R13" s="22"/>
      <c r="S13" s="56"/>
      <c r="T13" s="9">
        <f t="shared" si="6"/>
        <v>8</v>
      </c>
      <c r="U13" s="27"/>
      <c r="V13" s="74" t="s">
        <v>93</v>
      </c>
      <c r="W13" s="14">
        <f t="shared" si="1"/>
        <v>5008</v>
      </c>
      <c r="Y13" s="76" t="s">
        <v>118</v>
      </c>
      <c r="Z13" s="19">
        <f t="shared" si="2"/>
        <v>6008</v>
      </c>
      <c r="AB13" s="76" t="s">
        <v>118</v>
      </c>
      <c r="AC13" s="19">
        <f t="shared" si="3"/>
        <v>6024</v>
      </c>
    </row>
    <row r="14" spans="2:29" ht="17.25" thickBot="1" x14ac:dyDescent="0.35">
      <c r="B14" s="54"/>
      <c r="C14" s="7">
        <v>10</v>
      </c>
      <c r="D14" s="56"/>
      <c r="E14" s="15">
        <v>10</v>
      </c>
      <c r="G14" s="8"/>
      <c r="H14" s="68"/>
      <c r="I14" s="2">
        <f t="shared" si="4"/>
        <v>9</v>
      </c>
      <c r="J14" s="3" t="s">
        <v>136</v>
      </c>
      <c r="K14" s="56"/>
      <c r="L14" s="9">
        <f t="shared" si="0"/>
        <v>9</v>
      </c>
      <c r="N14" s="8"/>
      <c r="O14" s="68"/>
      <c r="P14" s="23">
        <f t="shared" si="5"/>
        <v>9</v>
      </c>
      <c r="Q14" s="27"/>
      <c r="R14" s="21"/>
      <c r="S14" s="56"/>
      <c r="T14" s="9">
        <f t="shared" si="6"/>
        <v>9</v>
      </c>
      <c r="U14" s="27"/>
      <c r="V14" s="75"/>
      <c r="W14" s="14">
        <f t="shared" si="1"/>
        <v>5009</v>
      </c>
      <c r="Y14" s="77"/>
      <c r="Z14" s="19">
        <f t="shared" si="2"/>
        <v>6009</v>
      </c>
      <c r="AB14" s="77"/>
      <c r="AC14" s="19">
        <f t="shared" si="3"/>
        <v>6025</v>
      </c>
    </row>
    <row r="15" spans="2:29" ht="17.25" thickBot="1" x14ac:dyDescent="0.35">
      <c r="B15" s="54"/>
      <c r="C15" s="7">
        <v>11</v>
      </c>
      <c r="D15" s="56"/>
      <c r="E15" s="15">
        <v>11</v>
      </c>
      <c r="G15" s="8" t="s">
        <v>133</v>
      </c>
      <c r="H15" s="68"/>
      <c r="I15" s="2">
        <f t="shared" si="4"/>
        <v>10</v>
      </c>
      <c r="J15" s="4"/>
      <c r="K15" s="56"/>
      <c r="L15" s="9">
        <f t="shared" si="0"/>
        <v>10</v>
      </c>
      <c r="N15" s="8"/>
      <c r="O15" s="68"/>
      <c r="P15" s="23">
        <f t="shared" si="5"/>
        <v>10</v>
      </c>
      <c r="Q15" s="27"/>
      <c r="R15" s="21"/>
      <c r="S15" s="56"/>
      <c r="T15" s="9">
        <f t="shared" si="6"/>
        <v>10</v>
      </c>
      <c r="U15" s="27"/>
      <c r="V15" s="74" t="s">
        <v>94</v>
      </c>
      <c r="W15" s="14">
        <f t="shared" si="1"/>
        <v>5010</v>
      </c>
      <c r="Y15" s="74" t="s">
        <v>119</v>
      </c>
      <c r="Z15" s="14">
        <f t="shared" si="2"/>
        <v>6010</v>
      </c>
      <c r="AB15" s="74" t="s">
        <v>119</v>
      </c>
      <c r="AC15" s="14">
        <f t="shared" si="3"/>
        <v>6026</v>
      </c>
    </row>
    <row r="16" spans="2:29" ht="17.25" thickBot="1" x14ac:dyDescent="0.35">
      <c r="B16" s="54"/>
      <c r="C16" s="7">
        <v>12</v>
      </c>
      <c r="D16" s="56"/>
      <c r="E16" s="15">
        <v>12</v>
      </c>
      <c r="G16" s="8" t="s">
        <v>134</v>
      </c>
      <c r="H16" s="68"/>
      <c r="I16" s="2">
        <f t="shared" si="4"/>
        <v>11</v>
      </c>
      <c r="J16" s="3"/>
      <c r="K16" s="56"/>
      <c r="L16" s="9">
        <f t="shared" si="0"/>
        <v>11</v>
      </c>
      <c r="N16" s="8"/>
      <c r="O16" s="68"/>
      <c r="P16" s="23">
        <f t="shared" si="5"/>
        <v>11</v>
      </c>
      <c r="Q16" s="27"/>
      <c r="R16" s="21"/>
      <c r="S16" s="56"/>
      <c r="T16" s="9">
        <f t="shared" si="6"/>
        <v>11</v>
      </c>
      <c r="U16" s="27"/>
      <c r="V16" s="75"/>
      <c r="W16" s="14">
        <f t="shared" si="1"/>
        <v>5011</v>
      </c>
      <c r="Y16" s="75"/>
      <c r="Z16" s="14">
        <f t="shared" si="2"/>
        <v>6011</v>
      </c>
      <c r="AB16" s="75"/>
      <c r="AC16" s="14">
        <f t="shared" si="3"/>
        <v>6027</v>
      </c>
    </row>
    <row r="17" spans="2:29" ht="17.25" thickBot="1" x14ac:dyDescent="0.35">
      <c r="B17" s="54"/>
      <c r="C17" s="7">
        <v>13</v>
      </c>
      <c r="D17" s="56"/>
      <c r="E17" s="15">
        <v>13</v>
      </c>
      <c r="G17" s="8" t="s">
        <v>135</v>
      </c>
      <c r="H17" s="68"/>
      <c r="I17" s="2">
        <f t="shared" si="4"/>
        <v>12</v>
      </c>
      <c r="J17" s="5"/>
      <c r="K17" s="56"/>
      <c r="L17" s="9">
        <f t="shared" si="0"/>
        <v>12</v>
      </c>
      <c r="N17" s="8"/>
      <c r="O17" s="68"/>
      <c r="P17" s="23">
        <f t="shared" si="5"/>
        <v>12</v>
      </c>
      <c r="Q17" s="27"/>
      <c r="R17" s="21"/>
      <c r="S17" s="56"/>
      <c r="T17" s="9">
        <f t="shared" si="6"/>
        <v>12</v>
      </c>
      <c r="U17" s="27"/>
      <c r="V17" s="76"/>
      <c r="W17" s="18"/>
      <c r="Y17" s="76" t="s">
        <v>120</v>
      </c>
      <c r="Z17" s="19">
        <f t="shared" si="2"/>
        <v>6012</v>
      </c>
      <c r="AB17" s="76" t="s">
        <v>120</v>
      </c>
      <c r="AC17" s="19">
        <f t="shared" si="3"/>
        <v>6028</v>
      </c>
    </row>
    <row r="18" spans="2:29" ht="17.25" thickBot="1" x14ac:dyDescent="0.35">
      <c r="B18" s="54"/>
      <c r="C18" s="7">
        <v>14</v>
      </c>
      <c r="D18" s="56"/>
      <c r="E18" s="15">
        <v>14</v>
      </c>
      <c r="G18" s="8"/>
      <c r="H18" s="68"/>
      <c r="I18" s="2">
        <f t="shared" si="4"/>
        <v>13</v>
      </c>
      <c r="J18" s="3"/>
      <c r="K18" s="56"/>
      <c r="L18" s="9">
        <f t="shared" si="0"/>
        <v>13</v>
      </c>
      <c r="N18" s="8"/>
      <c r="O18" s="68"/>
      <c r="P18" s="23">
        <f t="shared" si="5"/>
        <v>13</v>
      </c>
      <c r="Q18" s="27"/>
      <c r="R18" s="21"/>
      <c r="S18" s="56"/>
      <c r="T18" s="9">
        <f t="shared" si="6"/>
        <v>13</v>
      </c>
      <c r="U18" s="27"/>
      <c r="V18" s="77"/>
      <c r="W18" s="19"/>
      <c r="Y18" s="77"/>
      <c r="Z18" s="19">
        <f t="shared" si="2"/>
        <v>6013</v>
      </c>
      <c r="AB18" s="77"/>
      <c r="AC18" s="19">
        <f t="shared" si="3"/>
        <v>6029</v>
      </c>
    </row>
    <row r="19" spans="2:29" ht="17.25" thickBot="1" x14ac:dyDescent="0.35">
      <c r="B19" s="54"/>
      <c r="C19" s="7">
        <v>15</v>
      </c>
      <c r="D19" s="57"/>
      <c r="E19" s="15">
        <v>15</v>
      </c>
      <c r="G19" s="8"/>
      <c r="H19" s="68"/>
      <c r="I19" s="2">
        <f t="shared" si="4"/>
        <v>14</v>
      </c>
      <c r="J19" s="3"/>
      <c r="K19" s="56"/>
      <c r="L19" s="9">
        <f t="shared" si="0"/>
        <v>14</v>
      </c>
      <c r="N19" s="8"/>
      <c r="O19" s="68"/>
      <c r="P19" s="23">
        <f t="shared" si="5"/>
        <v>14</v>
      </c>
      <c r="Q19" s="27"/>
      <c r="R19" s="21"/>
      <c r="S19" s="56"/>
      <c r="T19" s="9">
        <f t="shared" si="6"/>
        <v>14</v>
      </c>
      <c r="U19" s="27"/>
      <c r="V19" s="76"/>
      <c r="W19" s="18"/>
      <c r="Y19" s="74" t="s">
        <v>121</v>
      </c>
      <c r="Z19" s="19">
        <f t="shared" si="2"/>
        <v>6014</v>
      </c>
      <c r="AB19" s="74" t="s">
        <v>121</v>
      </c>
      <c r="AC19" s="14">
        <f t="shared" si="3"/>
        <v>6030</v>
      </c>
    </row>
    <row r="20" spans="2:29" ht="17.25" thickBot="1" x14ac:dyDescent="0.35">
      <c r="B20" s="53">
        <v>4001</v>
      </c>
      <c r="C20" s="7">
        <v>0</v>
      </c>
      <c r="D20" s="55">
        <v>4005</v>
      </c>
      <c r="E20" s="15">
        <v>0</v>
      </c>
      <c r="G20" s="8"/>
      <c r="H20" s="68"/>
      <c r="I20" s="2">
        <f t="shared" si="4"/>
        <v>15</v>
      </c>
      <c r="J20" s="3"/>
      <c r="K20" s="56"/>
      <c r="L20" s="9">
        <f t="shared" si="0"/>
        <v>15</v>
      </c>
      <c r="N20" s="8"/>
      <c r="O20" s="68"/>
      <c r="P20" s="23">
        <f t="shared" si="5"/>
        <v>15</v>
      </c>
      <c r="Q20" s="27"/>
      <c r="R20" s="21"/>
      <c r="S20" s="56"/>
      <c r="T20" s="9">
        <f t="shared" si="6"/>
        <v>15</v>
      </c>
      <c r="U20" s="27"/>
      <c r="V20" s="77"/>
      <c r="W20" s="19"/>
      <c r="Y20" s="75"/>
      <c r="Z20" s="19">
        <f t="shared" si="2"/>
        <v>6015</v>
      </c>
      <c r="AB20" s="75"/>
      <c r="AC20" s="14">
        <f t="shared" si="3"/>
        <v>6031</v>
      </c>
    </row>
    <row r="21" spans="2:29" ht="17.25" thickBot="1" x14ac:dyDescent="0.35">
      <c r="B21" s="54"/>
      <c r="C21" s="7">
        <v>1</v>
      </c>
      <c r="D21" s="56"/>
      <c r="E21" s="15">
        <v>1</v>
      </c>
      <c r="G21" s="8"/>
      <c r="H21" s="68"/>
      <c r="I21" s="2"/>
      <c r="J21" s="3"/>
      <c r="K21" s="56"/>
      <c r="L21" s="9"/>
      <c r="N21" s="8"/>
      <c r="O21" s="68"/>
      <c r="P21" s="23"/>
      <c r="Q21" s="27"/>
      <c r="R21" s="21"/>
      <c r="S21" s="56"/>
      <c r="T21" s="9"/>
      <c r="U21" s="27"/>
      <c r="V21" s="76"/>
      <c r="W21" s="18"/>
      <c r="Y21" s="76"/>
      <c r="Z21" s="19"/>
      <c r="AB21" s="76"/>
      <c r="AC21" s="19"/>
    </row>
    <row r="22" spans="2:29" ht="17.25" thickBot="1" x14ac:dyDescent="0.35">
      <c r="B22" s="54"/>
      <c r="C22" s="7">
        <v>2</v>
      </c>
      <c r="D22" s="56"/>
      <c r="E22" s="15">
        <v>2</v>
      </c>
      <c r="G22" s="8"/>
      <c r="H22" s="68"/>
      <c r="I22" s="2"/>
      <c r="J22" s="3"/>
      <c r="K22" s="56"/>
      <c r="L22" s="9"/>
      <c r="N22" s="8"/>
      <c r="O22" s="68"/>
      <c r="P22" s="23"/>
      <c r="Q22" s="27"/>
      <c r="R22" s="21"/>
      <c r="S22" s="56"/>
      <c r="T22" s="9"/>
      <c r="U22" s="27"/>
      <c r="V22" s="77"/>
      <c r="W22" s="19"/>
      <c r="Y22" s="77"/>
      <c r="Z22" s="19"/>
      <c r="AB22" s="77"/>
      <c r="AC22" s="19"/>
    </row>
    <row r="23" spans="2:29" ht="17.25" thickBot="1" x14ac:dyDescent="0.35">
      <c r="B23" s="54"/>
      <c r="C23" s="7">
        <v>3</v>
      </c>
      <c r="D23" s="56"/>
      <c r="E23" s="15">
        <v>3</v>
      </c>
      <c r="G23" s="8"/>
      <c r="H23" s="68"/>
      <c r="I23" s="2"/>
      <c r="J23" s="3"/>
      <c r="K23" s="56"/>
      <c r="L23" s="9"/>
      <c r="N23" s="8"/>
      <c r="O23" s="68"/>
      <c r="P23" s="23"/>
      <c r="Q23" s="27"/>
      <c r="R23" s="21"/>
      <c r="S23" s="56"/>
      <c r="T23" s="9"/>
      <c r="U23" s="27"/>
      <c r="V23" s="76"/>
      <c r="W23" s="18"/>
      <c r="Y23" s="34"/>
      <c r="Z23" s="14"/>
      <c r="AB23" s="34"/>
      <c r="AC23" s="14"/>
    </row>
    <row r="24" spans="2:29" ht="39.75" thickBot="1" x14ac:dyDescent="0.35">
      <c r="B24" s="54"/>
      <c r="C24" s="7">
        <v>4</v>
      </c>
      <c r="D24" s="56"/>
      <c r="E24" s="15">
        <v>4</v>
      </c>
      <c r="G24" s="11"/>
      <c r="H24" s="69"/>
      <c r="I24" s="12"/>
      <c r="J24" s="13"/>
      <c r="K24" s="70"/>
      <c r="L24" s="14"/>
      <c r="N24" s="11"/>
      <c r="O24" s="69"/>
      <c r="P24" s="19"/>
      <c r="Q24" s="27"/>
      <c r="R24" s="20"/>
      <c r="S24" s="70"/>
      <c r="T24" s="14"/>
      <c r="U24" s="28"/>
      <c r="V24" s="77"/>
      <c r="W24" s="19"/>
      <c r="Y24" s="72" t="s">
        <v>122</v>
      </c>
      <c r="Z24" s="48"/>
      <c r="AB24" s="72" t="s">
        <v>122</v>
      </c>
      <c r="AC24" s="48"/>
    </row>
    <row r="25" spans="2:29" ht="17.25" thickBot="1" x14ac:dyDescent="0.35">
      <c r="B25" s="54"/>
      <c r="C25" s="7">
        <v>5</v>
      </c>
      <c r="D25" s="56"/>
      <c r="E25" s="15">
        <v>5</v>
      </c>
      <c r="N25" s="29"/>
      <c r="P25" s="30"/>
      <c r="R25" s="29"/>
      <c r="T25" s="30"/>
      <c r="U25" s="24"/>
      <c r="V25" s="29"/>
      <c r="W25" s="30"/>
      <c r="Y25" s="78" t="s">
        <v>113</v>
      </c>
      <c r="Z25" s="79"/>
      <c r="AB25" s="78" t="s">
        <v>123</v>
      </c>
      <c r="AC25" s="79"/>
    </row>
    <row r="26" spans="2:29" ht="17.25" thickBot="1" x14ac:dyDescent="0.35">
      <c r="B26" s="54"/>
      <c r="C26" s="7">
        <v>6</v>
      </c>
      <c r="D26" s="56"/>
      <c r="E26" s="15">
        <v>6</v>
      </c>
      <c r="G26" s="49" t="s">
        <v>86</v>
      </c>
      <c r="H26" s="59"/>
      <c r="I26" s="59"/>
      <c r="J26" s="59"/>
      <c r="K26" s="59"/>
      <c r="L26" s="60"/>
      <c r="N26" s="49" t="s">
        <v>86</v>
      </c>
      <c r="O26" s="59"/>
      <c r="P26" s="60"/>
      <c r="Q26" s="27"/>
      <c r="R26" s="81" t="s">
        <v>86</v>
      </c>
      <c r="S26" s="82"/>
      <c r="T26" s="52"/>
      <c r="U26" s="26"/>
      <c r="V26" s="78"/>
      <c r="W26" s="79"/>
      <c r="Y26" s="78"/>
      <c r="Z26" s="79"/>
      <c r="AB26" s="78"/>
      <c r="AC26" s="79"/>
    </row>
    <row r="27" spans="2:29" ht="17.25" thickBot="1" x14ac:dyDescent="0.35">
      <c r="B27" s="54"/>
      <c r="C27" s="7">
        <v>7</v>
      </c>
      <c r="D27" s="56"/>
      <c r="E27" s="15">
        <v>7</v>
      </c>
      <c r="G27" s="61" t="s">
        <v>10</v>
      </c>
      <c r="H27" s="62"/>
      <c r="I27" s="63"/>
      <c r="J27" s="64" t="s">
        <v>11</v>
      </c>
      <c r="K27" s="65"/>
      <c r="L27" s="66"/>
      <c r="N27" s="61" t="s">
        <v>10</v>
      </c>
      <c r="O27" s="62"/>
      <c r="P27" s="73"/>
      <c r="Q27" s="27"/>
      <c r="R27" s="80" t="s">
        <v>10</v>
      </c>
      <c r="S27" s="65"/>
      <c r="T27" s="66"/>
      <c r="U27" s="27"/>
      <c r="V27" s="78"/>
      <c r="W27" s="79"/>
      <c r="Y27" s="76" t="s">
        <v>124</v>
      </c>
      <c r="Z27" s="18">
        <v>6032</v>
      </c>
      <c r="AB27" s="76" t="s">
        <v>124</v>
      </c>
      <c r="AC27" s="18">
        <v>6048</v>
      </c>
    </row>
    <row r="28" spans="2:29" ht="17.25" thickBot="1" x14ac:dyDescent="0.35">
      <c r="B28" s="54"/>
      <c r="C28" s="7">
        <v>8</v>
      </c>
      <c r="D28" s="56"/>
      <c r="E28" s="15">
        <v>8</v>
      </c>
      <c r="G28" s="8" t="s">
        <v>9</v>
      </c>
      <c r="H28" s="67">
        <v>4010</v>
      </c>
      <c r="I28" s="2">
        <v>0</v>
      </c>
      <c r="J28" s="3" t="s">
        <v>9</v>
      </c>
      <c r="K28" s="55">
        <v>4011</v>
      </c>
      <c r="L28" s="9">
        <v>0</v>
      </c>
      <c r="N28" s="8" t="s">
        <v>101</v>
      </c>
      <c r="O28" s="67">
        <v>4013</v>
      </c>
      <c r="P28" s="23">
        <v>0</v>
      </c>
      <c r="Q28" s="27"/>
      <c r="R28" s="3" t="s">
        <v>95</v>
      </c>
      <c r="S28" s="55">
        <v>4015</v>
      </c>
      <c r="T28" s="9">
        <v>0</v>
      </c>
      <c r="U28" s="27"/>
      <c r="V28" s="76"/>
      <c r="W28" s="18"/>
      <c r="Y28" s="77"/>
      <c r="Z28" s="19">
        <f>SUM(Z27+1)</f>
        <v>6033</v>
      </c>
      <c r="AB28" s="77"/>
      <c r="AC28" s="19">
        <f>SUM(AC27+1)</f>
        <v>6049</v>
      </c>
    </row>
    <row r="29" spans="2:29" ht="17.25" thickBot="1" x14ac:dyDescent="0.35">
      <c r="B29" s="54"/>
      <c r="C29" s="7">
        <v>9</v>
      </c>
      <c r="D29" s="56"/>
      <c r="E29" s="15">
        <v>9</v>
      </c>
      <c r="G29" s="8" t="s">
        <v>14</v>
      </c>
      <c r="H29" s="68"/>
      <c r="I29" s="2">
        <v>1</v>
      </c>
      <c r="J29" s="3" t="s">
        <v>5</v>
      </c>
      <c r="K29" s="56"/>
      <c r="L29" s="9">
        <f>SUM(L28+1)</f>
        <v>1</v>
      </c>
      <c r="N29" s="8" t="s">
        <v>102</v>
      </c>
      <c r="O29" s="68"/>
      <c r="P29" s="23">
        <v>1</v>
      </c>
      <c r="Q29" s="27"/>
      <c r="R29" s="3" t="s">
        <v>96</v>
      </c>
      <c r="S29" s="56"/>
      <c r="T29" s="9">
        <v>1</v>
      </c>
      <c r="U29" s="27"/>
      <c r="V29" s="77"/>
      <c r="W29" s="19"/>
      <c r="Y29" s="74" t="s">
        <v>125</v>
      </c>
      <c r="Z29" s="14">
        <f t="shared" ref="Z29:Z42" si="7">SUM(Z28+1)</f>
        <v>6034</v>
      </c>
      <c r="AB29" s="74" t="s">
        <v>125</v>
      </c>
      <c r="AC29" s="14">
        <f t="shared" ref="AC29:AC42" si="8">SUM(AC28+1)</f>
        <v>6050</v>
      </c>
    </row>
    <row r="30" spans="2:29" ht="17.25" thickBot="1" x14ac:dyDescent="0.35">
      <c r="B30" s="54"/>
      <c r="C30" s="7">
        <v>10</v>
      </c>
      <c r="D30" s="56"/>
      <c r="E30" s="15">
        <v>10</v>
      </c>
      <c r="G30" s="8" t="s">
        <v>16</v>
      </c>
      <c r="H30" s="68"/>
      <c r="I30" s="2">
        <v>2</v>
      </c>
      <c r="J30" s="3" t="s">
        <v>6</v>
      </c>
      <c r="K30" s="56"/>
      <c r="L30" s="9">
        <f t="shared" ref="L30" si="9">SUM(L29+1)</f>
        <v>2</v>
      </c>
      <c r="N30" s="8" t="s">
        <v>103</v>
      </c>
      <c r="O30" s="68"/>
      <c r="P30" s="23">
        <v>2</v>
      </c>
      <c r="Q30" s="27"/>
      <c r="R30" s="3" t="s">
        <v>97</v>
      </c>
      <c r="S30" s="56"/>
      <c r="T30" s="9">
        <v>2</v>
      </c>
      <c r="U30" s="27"/>
      <c r="V30" s="76"/>
      <c r="W30" s="18"/>
      <c r="Y30" s="75"/>
      <c r="Z30" s="14">
        <f t="shared" si="7"/>
        <v>6035</v>
      </c>
      <c r="AB30" s="75"/>
      <c r="AC30" s="14">
        <f t="shared" si="8"/>
        <v>6051</v>
      </c>
    </row>
    <row r="31" spans="2:29" ht="17.25" thickBot="1" x14ac:dyDescent="0.35">
      <c r="B31" s="54"/>
      <c r="C31" s="7">
        <v>11</v>
      </c>
      <c r="D31" s="56"/>
      <c r="E31" s="15">
        <v>11</v>
      </c>
      <c r="G31" s="8" t="s">
        <v>84</v>
      </c>
      <c r="H31" s="68"/>
      <c r="I31" s="2">
        <v>3</v>
      </c>
      <c r="J31" s="3" t="s">
        <v>13</v>
      </c>
      <c r="K31" s="56"/>
      <c r="L31" s="9">
        <f t="shared" ref="L31" si="10">SUM(L30+1)</f>
        <v>3</v>
      </c>
      <c r="N31" s="8" t="s">
        <v>104</v>
      </c>
      <c r="O31" s="68"/>
      <c r="P31" s="23">
        <v>3</v>
      </c>
      <c r="Q31" s="27"/>
      <c r="R31" s="3" t="s">
        <v>98</v>
      </c>
      <c r="S31" s="56"/>
      <c r="T31" s="9">
        <v>3</v>
      </c>
      <c r="U31" s="27"/>
      <c r="V31" s="77"/>
      <c r="W31" s="19"/>
      <c r="Y31" s="76" t="s">
        <v>126</v>
      </c>
      <c r="Z31" s="19">
        <f t="shared" si="7"/>
        <v>6036</v>
      </c>
      <c r="AB31" s="76" t="s">
        <v>126</v>
      </c>
      <c r="AC31" s="19">
        <f t="shared" si="8"/>
        <v>6052</v>
      </c>
    </row>
    <row r="32" spans="2:29" ht="17.25" thickBot="1" x14ac:dyDescent="0.35">
      <c r="B32" s="54"/>
      <c r="C32" s="7">
        <v>12</v>
      </c>
      <c r="D32" s="56"/>
      <c r="E32" s="15">
        <v>12</v>
      </c>
      <c r="G32" s="8" t="s">
        <v>85</v>
      </c>
      <c r="H32" s="68"/>
      <c r="I32" s="2">
        <v>4</v>
      </c>
      <c r="J32" s="3" t="s">
        <v>15</v>
      </c>
      <c r="K32" s="56"/>
      <c r="L32" s="9">
        <f t="shared" ref="L32" si="11">SUM(L31+1)</f>
        <v>4</v>
      </c>
      <c r="N32" s="8" t="s">
        <v>105</v>
      </c>
      <c r="O32" s="68"/>
      <c r="P32" s="23">
        <v>4</v>
      </c>
      <c r="Q32" s="27"/>
      <c r="R32" s="3" t="s">
        <v>109</v>
      </c>
      <c r="S32" s="56"/>
      <c r="T32" s="9">
        <v>4</v>
      </c>
      <c r="U32" s="27"/>
      <c r="V32" s="76"/>
      <c r="W32" s="18"/>
      <c r="Y32" s="77"/>
      <c r="Z32" s="19">
        <f t="shared" si="7"/>
        <v>6037</v>
      </c>
      <c r="AB32" s="77"/>
      <c r="AC32" s="19">
        <f t="shared" si="8"/>
        <v>6053</v>
      </c>
    </row>
    <row r="33" spans="2:29" ht="17.25" thickBot="1" x14ac:dyDescent="0.35">
      <c r="B33" s="54"/>
      <c r="C33" s="7">
        <v>13</v>
      </c>
      <c r="D33" s="56"/>
      <c r="E33" s="15">
        <v>13</v>
      </c>
      <c r="G33" s="8" t="s">
        <v>17</v>
      </c>
      <c r="H33" s="68"/>
      <c r="I33" s="2">
        <v>5</v>
      </c>
      <c r="J33" s="3" t="s">
        <v>84</v>
      </c>
      <c r="K33" s="56"/>
      <c r="L33" s="9">
        <f t="shared" ref="L33" si="12">SUM(L32+1)</f>
        <v>5</v>
      </c>
      <c r="N33" s="8" t="s">
        <v>106</v>
      </c>
      <c r="O33" s="68"/>
      <c r="P33" s="23">
        <v>5</v>
      </c>
      <c r="Q33" s="27"/>
      <c r="R33" s="3" t="s">
        <v>110</v>
      </c>
      <c r="S33" s="56"/>
      <c r="T33" s="9">
        <v>5</v>
      </c>
      <c r="U33" s="27"/>
      <c r="V33" s="77"/>
      <c r="W33" s="19"/>
      <c r="Y33" s="74" t="s">
        <v>127</v>
      </c>
      <c r="Z33" s="14">
        <f t="shared" si="7"/>
        <v>6038</v>
      </c>
      <c r="AB33" s="74" t="s">
        <v>127</v>
      </c>
      <c r="AC33" s="14">
        <f t="shared" si="8"/>
        <v>6054</v>
      </c>
    </row>
    <row r="34" spans="2:29" ht="17.25" thickBot="1" x14ac:dyDescent="0.35">
      <c r="B34" s="54"/>
      <c r="C34" s="7">
        <v>14</v>
      </c>
      <c r="D34" s="56"/>
      <c r="E34" s="15">
        <v>14</v>
      </c>
      <c r="G34" s="8" t="s">
        <v>19</v>
      </c>
      <c r="H34" s="68"/>
      <c r="I34" s="2">
        <f t="shared" ref="I34" si="13">SUM(I33+1)</f>
        <v>6</v>
      </c>
      <c r="J34" s="3" t="s">
        <v>85</v>
      </c>
      <c r="K34" s="56"/>
      <c r="L34" s="9">
        <f t="shared" ref="L34" si="14">SUM(L33+1)</f>
        <v>6</v>
      </c>
      <c r="N34" s="8" t="s">
        <v>107</v>
      </c>
      <c r="O34" s="68"/>
      <c r="P34" s="23">
        <f t="shared" ref="P34:P43" si="15">SUM(P33+1)</f>
        <v>6</v>
      </c>
      <c r="Q34" s="27"/>
      <c r="R34" s="3" t="s">
        <v>111</v>
      </c>
      <c r="S34" s="56"/>
      <c r="T34" s="9">
        <f t="shared" ref="T34:T43" si="16">SUM(T33+1)</f>
        <v>6</v>
      </c>
      <c r="U34" s="27"/>
      <c r="V34" s="76"/>
      <c r="W34" s="18"/>
      <c r="Y34" s="75"/>
      <c r="Z34" s="14">
        <f t="shared" si="7"/>
        <v>6039</v>
      </c>
      <c r="AB34" s="75"/>
      <c r="AC34" s="14">
        <f t="shared" si="8"/>
        <v>6055</v>
      </c>
    </row>
    <row r="35" spans="2:29" ht="17.25" thickBot="1" x14ac:dyDescent="0.35">
      <c r="B35" s="58"/>
      <c r="C35" s="7">
        <v>15</v>
      </c>
      <c r="D35" s="57"/>
      <c r="E35" s="15">
        <v>15</v>
      </c>
      <c r="G35" s="8" t="s">
        <v>136</v>
      </c>
      <c r="H35" s="68"/>
      <c r="I35" s="2">
        <f t="shared" ref="I35" si="17">SUM(I34+1)</f>
        <v>7</v>
      </c>
      <c r="J35" s="3" t="s">
        <v>18</v>
      </c>
      <c r="K35" s="56"/>
      <c r="L35" s="9">
        <f t="shared" ref="L35" si="18">SUM(L34+1)</f>
        <v>7</v>
      </c>
      <c r="N35" s="8" t="s">
        <v>108</v>
      </c>
      <c r="O35" s="68"/>
      <c r="P35" s="23">
        <f t="shared" si="15"/>
        <v>7</v>
      </c>
      <c r="Q35" s="27"/>
      <c r="R35" s="3" t="s">
        <v>112</v>
      </c>
      <c r="S35" s="56"/>
      <c r="T35" s="9">
        <f t="shared" si="16"/>
        <v>7</v>
      </c>
      <c r="U35" s="27"/>
      <c r="V35" s="77"/>
      <c r="W35" s="19"/>
      <c r="Y35" s="76" t="s">
        <v>128</v>
      </c>
      <c r="Z35" s="19">
        <f t="shared" si="7"/>
        <v>6040</v>
      </c>
      <c r="AB35" s="76" t="s">
        <v>128</v>
      </c>
      <c r="AC35" s="19">
        <f t="shared" si="8"/>
        <v>6056</v>
      </c>
    </row>
    <row r="36" spans="2:29" ht="17.25" thickBot="1" x14ac:dyDescent="0.35">
      <c r="B36" s="53">
        <v>4002</v>
      </c>
      <c r="C36" s="7">
        <v>0</v>
      </c>
      <c r="D36" s="55">
        <v>4006</v>
      </c>
      <c r="E36" s="15">
        <v>0</v>
      </c>
      <c r="G36" s="10"/>
      <c r="H36" s="68"/>
      <c r="I36" s="2">
        <f t="shared" ref="I36" si="19">SUM(I35+1)</f>
        <v>8</v>
      </c>
      <c r="J36" s="3" t="s">
        <v>132</v>
      </c>
      <c r="K36" s="56"/>
      <c r="L36" s="9">
        <f t="shared" ref="L36" si="20">SUM(L35+1)</f>
        <v>8</v>
      </c>
      <c r="N36" s="10"/>
      <c r="O36" s="68"/>
      <c r="P36" s="23">
        <f t="shared" si="15"/>
        <v>8</v>
      </c>
      <c r="Q36" s="27"/>
      <c r="R36" s="4"/>
      <c r="S36" s="56"/>
      <c r="T36" s="9">
        <f t="shared" si="16"/>
        <v>8</v>
      </c>
      <c r="U36" s="27"/>
      <c r="V36" s="76"/>
      <c r="W36" s="18"/>
      <c r="Y36" s="77"/>
      <c r="Z36" s="19">
        <f t="shared" si="7"/>
        <v>6041</v>
      </c>
      <c r="AB36" s="77"/>
      <c r="AC36" s="19">
        <f t="shared" si="8"/>
        <v>6057</v>
      </c>
    </row>
    <row r="37" spans="2:29" ht="17.25" thickBot="1" x14ac:dyDescent="0.35">
      <c r="B37" s="54"/>
      <c r="C37" s="7">
        <v>1</v>
      </c>
      <c r="D37" s="56"/>
      <c r="E37" s="15">
        <v>1</v>
      </c>
      <c r="G37" s="8"/>
      <c r="H37" s="68"/>
      <c r="I37" s="2">
        <f t="shared" ref="I37" si="21">SUM(I36+1)</f>
        <v>9</v>
      </c>
      <c r="J37" s="3" t="s">
        <v>136</v>
      </c>
      <c r="K37" s="56"/>
      <c r="L37" s="9">
        <f t="shared" ref="L37" si="22">SUM(L36+1)</f>
        <v>9</v>
      </c>
      <c r="N37" s="8"/>
      <c r="O37" s="68"/>
      <c r="P37" s="23">
        <f t="shared" si="15"/>
        <v>9</v>
      </c>
      <c r="Q37" s="27"/>
      <c r="R37" s="3"/>
      <c r="S37" s="56"/>
      <c r="T37" s="9">
        <f t="shared" si="16"/>
        <v>9</v>
      </c>
      <c r="U37" s="27"/>
      <c r="V37" s="77"/>
      <c r="W37" s="19"/>
      <c r="Y37" s="74" t="s">
        <v>129</v>
      </c>
      <c r="Z37" s="14">
        <f t="shared" si="7"/>
        <v>6042</v>
      </c>
      <c r="AB37" s="74" t="s">
        <v>129</v>
      </c>
      <c r="AC37" s="14">
        <f t="shared" si="8"/>
        <v>6058</v>
      </c>
    </row>
    <row r="38" spans="2:29" ht="17.25" thickBot="1" x14ac:dyDescent="0.35">
      <c r="B38" s="54"/>
      <c r="C38" s="7">
        <v>2</v>
      </c>
      <c r="D38" s="56"/>
      <c r="E38" s="15">
        <v>2</v>
      </c>
      <c r="G38" s="8" t="s">
        <v>133</v>
      </c>
      <c r="H38" s="68"/>
      <c r="I38" s="2">
        <f t="shared" ref="I38" si="23">SUM(I37+1)</f>
        <v>10</v>
      </c>
      <c r="J38" s="4"/>
      <c r="K38" s="56"/>
      <c r="L38" s="9">
        <f t="shared" ref="L38" si="24">SUM(L37+1)</f>
        <v>10</v>
      </c>
      <c r="N38" s="8"/>
      <c r="O38" s="68"/>
      <c r="P38" s="23">
        <f t="shared" si="15"/>
        <v>10</v>
      </c>
      <c r="Q38" s="27"/>
      <c r="R38" s="3"/>
      <c r="S38" s="56"/>
      <c r="T38" s="9">
        <f t="shared" si="16"/>
        <v>10</v>
      </c>
      <c r="U38" s="27"/>
      <c r="V38" s="76"/>
      <c r="W38" s="18"/>
      <c r="Y38" s="75"/>
      <c r="Z38" s="14">
        <f t="shared" si="7"/>
        <v>6043</v>
      </c>
      <c r="AB38" s="75"/>
      <c r="AC38" s="14">
        <f t="shared" si="8"/>
        <v>6059</v>
      </c>
    </row>
    <row r="39" spans="2:29" ht="17.25" thickBot="1" x14ac:dyDescent="0.35">
      <c r="B39" s="54"/>
      <c r="C39" s="7">
        <v>3</v>
      </c>
      <c r="D39" s="56"/>
      <c r="E39" s="15">
        <v>3</v>
      </c>
      <c r="G39" s="8" t="s">
        <v>134</v>
      </c>
      <c r="H39" s="68"/>
      <c r="I39" s="2">
        <f t="shared" ref="I39" si="25">SUM(I38+1)</f>
        <v>11</v>
      </c>
      <c r="J39" s="3"/>
      <c r="K39" s="56"/>
      <c r="L39" s="9">
        <f t="shared" ref="L39" si="26">SUM(L38+1)</f>
        <v>11</v>
      </c>
      <c r="N39" s="8"/>
      <c r="O39" s="68"/>
      <c r="P39" s="23">
        <f t="shared" si="15"/>
        <v>11</v>
      </c>
      <c r="Q39" s="27"/>
      <c r="R39" s="3"/>
      <c r="S39" s="56"/>
      <c r="T39" s="9">
        <f t="shared" si="16"/>
        <v>11</v>
      </c>
      <c r="U39" s="27"/>
      <c r="V39" s="77"/>
      <c r="W39" s="19"/>
      <c r="Y39" s="76" t="s">
        <v>130</v>
      </c>
      <c r="Z39" s="19">
        <f t="shared" si="7"/>
        <v>6044</v>
      </c>
      <c r="AB39" s="76" t="s">
        <v>130</v>
      </c>
      <c r="AC39" s="19">
        <f t="shared" si="8"/>
        <v>6060</v>
      </c>
    </row>
    <row r="40" spans="2:29" ht="17.25" thickBot="1" x14ac:dyDescent="0.35">
      <c r="B40" s="54"/>
      <c r="C40" s="7">
        <v>4</v>
      </c>
      <c r="D40" s="56"/>
      <c r="E40" s="15">
        <v>4</v>
      </c>
      <c r="G40" s="8" t="s">
        <v>135</v>
      </c>
      <c r="H40" s="68"/>
      <c r="I40" s="2">
        <f t="shared" ref="I40" si="27">SUM(I39+1)</f>
        <v>12</v>
      </c>
      <c r="J40" s="5"/>
      <c r="K40" s="56"/>
      <c r="L40" s="9">
        <f t="shared" ref="L40" si="28">SUM(L39+1)</f>
        <v>12</v>
      </c>
      <c r="N40" s="8"/>
      <c r="O40" s="68"/>
      <c r="P40" s="23">
        <f t="shared" si="15"/>
        <v>12</v>
      </c>
      <c r="Q40" s="27"/>
      <c r="R40" s="3"/>
      <c r="S40" s="56"/>
      <c r="T40" s="9">
        <f t="shared" si="16"/>
        <v>12</v>
      </c>
      <c r="U40" s="27"/>
      <c r="V40" s="76"/>
      <c r="W40" s="18"/>
      <c r="Y40" s="77"/>
      <c r="Z40" s="19">
        <f t="shared" si="7"/>
        <v>6045</v>
      </c>
      <c r="AB40" s="77"/>
      <c r="AC40" s="19">
        <f t="shared" si="8"/>
        <v>6061</v>
      </c>
    </row>
    <row r="41" spans="2:29" ht="17.25" thickBot="1" x14ac:dyDescent="0.35">
      <c r="B41" s="54"/>
      <c r="C41" s="7">
        <v>5</v>
      </c>
      <c r="D41" s="56"/>
      <c r="E41" s="15">
        <v>5</v>
      </c>
      <c r="G41" s="8"/>
      <c r="H41" s="68"/>
      <c r="I41" s="2">
        <f t="shared" ref="I41" si="29">SUM(I40+1)</f>
        <v>13</v>
      </c>
      <c r="J41" s="3"/>
      <c r="K41" s="56"/>
      <c r="L41" s="9">
        <f t="shared" ref="L41" si="30">SUM(L40+1)</f>
        <v>13</v>
      </c>
      <c r="N41" s="8"/>
      <c r="O41" s="68"/>
      <c r="P41" s="23">
        <f t="shared" si="15"/>
        <v>13</v>
      </c>
      <c r="Q41" s="27"/>
      <c r="R41" s="3"/>
      <c r="S41" s="56"/>
      <c r="T41" s="9">
        <f t="shared" si="16"/>
        <v>13</v>
      </c>
      <c r="U41" s="27"/>
      <c r="V41" s="77"/>
      <c r="W41" s="19"/>
      <c r="Y41" s="74" t="s">
        <v>131</v>
      </c>
      <c r="Z41" s="19">
        <f t="shared" si="7"/>
        <v>6046</v>
      </c>
      <c r="AB41" s="74" t="s">
        <v>131</v>
      </c>
      <c r="AC41" s="14">
        <f t="shared" si="8"/>
        <v>6062</v>
      </c>
    </row>
    <row r="42" spans="2:29" ht="17.25" thickBot="1" x14ac:dyDescent="0.35">
      <c r="B42" s="54"/>
      <c r="C42" s="7">
        <v>6</v>
      </c>
      <c r="D42" s="56"/>
      <c r="E42" s="15">
        <v>6</v>
      </c>
      <c r="G42" s="8"/>
      <c r="H42" s="68"/>
      <c r="I42" s="2">
        <f t="shared" ref="I42" si="31">SUM(I41+1)</f>
        <v>14</v>
      </c>
      <c r="J42" s="3"/>
      <c r="K42" s="56"/>
      <c r="L42" s="9">
        <f t="shared" ref="L42" si="32">SUM(L41+1)</f>
        <v>14</v>
      </c>
      <c r="N42" s="8"/>
      <c r="O42" s="68"/>
      <c r="P42" s="23">
        <f t="shared" si="15"/>
        <v>14</v>
      </c>
      <c r="Q42" s="27"/>
      <c r="R42" s="3"/>
      <c r="S42" s="56"/>
      <c r="T42" s="9">
        <f t="shared" si="16"/>
        <v>14</v>
      </c>
      <c r="U42" s="27"/>
      <c r="V42" s="76"/>
      <c r="W42" s="18"/>
      <c r="Y42" s="75"/>
      <c r="Z42" s="19">
        <f t="shared" si="7"/>
        <v>6047</v>
      </c>
      <c r="AB42" s="75"/>
      <c r="AC42" s="14">
        <f t="shared" si="8"/>
        <v>6063</v>
      </c>
    </row>
    <row r="43" spans="2:29" ht="17.25" thickBot="1" x14ac:dyDescent="0.35">
      <c r="B43" s="54"/>
      <c r="C43" s="7">
        <v>7</v>
      </c>
      <c r="D43" s="56"/>
      <c r="E43" s="15">
        <v>7</v>
      </c>
      <c r="G43" s="8"/>
      <c r="H43" s="68"/>
      <c r="I43" s="2">
        <f t="shared" ref="I43" si="33">SUM(I42+1)</f>
        <v>15</v>
      </c>
      <c r="J43" s="3"/>
      <c r="K43" s="56"/>
      <c r="L43" s="9">
        <f t="shared" ref="L43" si="34">SUM(L42+1)</f>
        <v>15</v>
      </c>
      <c r="N43" s="8"/>
      <c r="O43" s="68"/>
      <c r="P43" s="23">
        <f t="shared" si="15"/>
        <v>15</v>
      </c>
      <c r="Q43" s="27"/>
      <c r="R43" s="3"/>
      <c r="S43" s="56"/>
      <c r="T43" s="9">
        <f t="shared" si="16"/>
        <v>15</v>
      </c>
      <c r="U43" s="27"/>
      <c r="V43" s="77"/>
      <c r="W43" s="19"/>
      <c r="Y43" s="34"/>
      <c r="Z43" s="14"/>
      <c r="AB43" s="34"/>
      <c r="AC43" s="14"/>
    </row>
    <row r="44" spans="2:29" ht="17.25" thickBot="1" x14ac:dyDescent="0.35">
      <c r="B44" s="54"/>
      <c r="C44" s="7">
        <v>8</v>
      </c>
      <c r="D44" s="56"/>
      <c r="E44" s="15">
        <v>8</v>
      </c>
      <c r="G44" s="8"/>
      <c r="H44" s="68"/>
      <c r="I44" s="2"/>
      <c r="J44" s="3"/>
      <c r="K44" s="56"/>
      <c r="L44" s="9"/>
      <c r="N44" s="8"/>
      <c r="O44" s="68"/>
      <c r="P44" s="23"/>
      <c r="Q44" s="27"/>
      <c r="R44" s="3"/>
      <c r="S44" s="56"/>
      <c r="T44" s="9"/>
      <c r="U44" s="27"/>
      <c r="V44" s="76"/>
      <c r="W44" s="18"/>
      <c r="Y44" s="35"/>
      <c r="Z44" s="14"/>
      <c r="AB44" s="35"/>
      <c r="AC44" s="14"/>
    </row>
    <row r="45" spans="2:29" ht="17.25" thickBot="1" x14ac:dyDescent="0.35">
      <c r="B45" s="54"/>
      <c r="C45" s="7">
        <v>9</v>
      </c>
      <c r="D45" s="56"/>
      <c r="E45" s="15">
        <v>9</v>
      </c>
      <c r="G45" s="8"/>
      <c r="H45" s="68"/>
      <c r="I45" s="2"/>
      <c r="J45" s="3"/>
      <c r="K45" s="56"/>
      <c r="L45" s="9"/>
      <c r="N45" s="8"/>
      <c r="O45" s="68"/>
      <c r="P45" s="23"/>
      <c r="Q45" s="27"/>
      <c r="R45" s="3"/>
      <c r="S45" s="56"/>
      <c r="T45" s="9"/>
      <c r="U45" s="27"/>
      <c r="V45" s="77"/>
      <c r="W45" s="19"/>
      <c r="Y45" s="33"/>
      <c r="Z45" s="19"/>
      <c r="AB45" s="33"/>
      <c r="AC45" s="19"/>
    </row>
    <row r="46" spans="2:29" x14ac:dyDescent="0.3">
      <c r="B46" s="54"/>
      <c r="C46" s="7">
        <v>10</v>
      </c>
      <c r="D46" s="56"/>
      <c r="E46" s="15">
        <v>10</v>
      </c>
      <c r="G46" s="8"/>
      <c r="H46" s="68"/>
      <c r="I46" s="2"/>
      <c r="J46" s="3"/>
      <c r="K46" s="56"/>
      <c r="L46" s="9"/>
      <c r="N46" s="8"/>
      <c r="O46" s="68"/>
      <c r="P46" s="23"/>
      <c r="Q46" s="27"/>
      <c r="R46" s="3"/>
      <c r="S46" s="56"/>
      <c r="T46" s="9"/>
      <c r="U46" s="27"/>
      <c r="V46" s="76"/>
      <c r="W46" s="18"/>
      <c r="Y46" s="32"/>
      <c r="Z46" s="18"/>
      <c r="AB46" s="32"/>
      <c r="AC46" s="18"/>
    </row>
    <row r="47" spans="2:29" ht="17.25" thickBot="1" x14ac:dyDescent="0.35">
      <c r="B47" s="54"/>
      <c r="C47" s="7">
        <v>11</v>
      </c>
      <c r="D47" s="56"/>
      <c r="E47" s="15">
        <v>11</v>
      </c>
      <c r="G47" s="11"/>
      <c r="H47" s="69"/>
      <c r="I47" s="12"/>
      <c r="J47" s="13"/>
      <c r="K47" s="70"/>
      <c r="L47" s="14"/>
      <c r="N47" s="11"/>
      <c r="O47" s="69"/>
      <c r="P47" s="19"/>
      <c r="Q47" s="27"/>
      <c r="R47" s="3"/>
      <c r="S47" s="70"/>
      <c r="T47" s="14"/>
      <c r="U47" s="28"/>
      <c r="V47" s="77"/>
      <c r="W47" s="19"/>
      <c r="Y47" s="33"/>
      <c r="Z47" s="19"/>
      <c r="AB47" s="33"/>
      <c r="AC47" s="19"/>
    </row>
    <row r="48" spans="2:29" x14ac:dyDescent="0.3">
      <c r="B48" s="54"/>
      <c r="C48" s="7">
        <v>12</v>
      </c>
      <c r="D48" s="56"/>
      <c r="E48" s="15">
        <v>12</v>
      </c>
    </row>
    <row r="49" spans="2:5" x14ac:dyDescent="0.3">
      <c r="B49" s="54"/>
      <c r="C49" s="7">
        <v>13</v>
      </c>
      <c r="D49" s="56"/>
      <c r="E49" s="15">
        <v>13</v>
      </c>
    </row>
    <row r="50" spans="2:5" x14ac:dyDescent="0.3">
      <c r="B50" s="54"/>
      <c r="C50" s="7">
        <v>14</v>
      </c>
      <c r="D50" s="56"/>
      <c r="E50" s="15">
        <v>14</v>
      </c>
    </row>
    <row r="51" spans="2:5" x14ac:dyDescent="0.3">
      <c r="B51" s="54"/>
      <c r="C51" s="7">
        <v>15</v>
      </c>
      <c r="D51" s="57"/>
      <c r="E51" s="15">
        <v>15</v>
      </c>
    </row>
    <row r="52" spans="2:5" x14ac:dyDescent="0.3">
      <c r="B52" s="53">
        <v>4003</v>
      </c>
      <c r="C52" s="7">
        <v>0</v>
      </c>
      <c r="D52" s="55">
        <v>4007</v>
      </c>
      <c r="E52" s="15">
        <v>0</v>
      </c>
    </row>
    <row r="53" spans="2:5" x14ac:dyDescent="0.3">
      <c r="B53" s="54"/>
      <c r="C53" s="7">
        <v>1</v>
      </c>
      <c r="D53" s="56"/>
      <c r="E53" s="15">
        <v>1</v>
      </c>
    </row>
    <row r="54" spans="2:5" x14ac:dyDescent="0.3">
      <c r="B54" s="54"/>
      <c r="C54" s="7">
        <v>2</v>
      </c>
      <c r="D54" s="56"/>
      <c r="E54" s="15">
        <v>2</v>
      </c>
    </row>
    <row r="55" spans="2:5" x14ac:dyDescent="0.3">
      <c r="B55" s="54"/>
      <c r="C55" s="7">
        <v>3</v>
      </c>
      <c r="D55" s="56"/>
      <c r="E55" s="15">
        <v>3</v>
      </c>
    </row>
    <row r="56" spans="2:5" x14ac:dyDescent="0.3">
      <c r="B56" s="54"/>
      <c r="C56" s="7">
        <v>4</v>
      </c>
      <c r="D56" s="56"/>
      <c r="E56" s="15">
        <v>4</v>
      </c>
    </row>
    <row r="57" spans="2:5" x14ac:dyDescent="0.3">
      <c r="B57" s="54"/>
      <c r="C57" s="7">
        <v>5</v>
      </c>
      <c r="D57" s="56"/>
      <c r="E57" s="15">
        <v>5</v>
      </c>
    </row>
    <row r="58" spans="2:5" x14ac:dyDescent="0.3">
      <c r="B58" s="54"/>
      <c r="C58" s="7">
        <v>6</v>
      </c>
      <c r="D58" s="56"/>
      <c r="E58" s="15">
        <v>6</v>
      </c>
    </row>
    <row r="59" spans="2:5" x14ac:dyDescent="0.3">
      <c r="B59" s="54"/>
      <c r="C59" s="7">
        <v>7</v>
      </c>
      <c r="D59" s="56"/>
      <c r="E59" s="15">
        <v>7</v>
      </c>
    </row>
    <row r="60" spans="2:5" x14ac:dyDescent="0.3">
      <c r="B60" s="54"/>
      <c r="C60" s="7">
        <v>8</v>
      </c>
      <c r="D60" s="56"/>
      <c r="E60" s="15">
        <v>8</v>
      </c>
    </row>
    <row r="61" spans="2:5" x14ac:dyDescent="0.3">
      <c r="B61" s="54"/>
      <c r="C61" s="7">
        <v>9</v>
      </c>
      <c r="D61" s="56"/>
      <c r="E61" s="15">
        <v>9</v>
      </c>
    </row>
    <row r="62" spans="2:5" x14ac:dyDescent="0.3">
      <c r="B62" s="54"/>
      <c r="C62" s="7">
        <v>10</v>
      </c>
      <c r="D62" s="56"/>
      <c r="E62" s="15">
        <v>10</v>
      </c>
    </row>
    <row r="63" spans="2:5" x14ac:dyDescent="0.3">
      <c r="B63" s="54"/>
      <c r="C63" s="7">
        <v>11</v>
      </c>
      <c r="D63" s="56"/>
      <c r="E63" s="15">
        <v>11</v>
      </c>
    </row>
    <row r="64" spans="2:5" x14ac:dyDescent="0.3">
      <c r="B64" s="54"/>
      <c r="C64" s="7">
        <v>12</v>
      </c>
      <c r="D64" s="56"/>
      <c r="E64" s="15">
        <v>12</v>
      </c>
    </row>
    <row r="65" spans="2:5" x14ac:dyDescent="0.3">
      <c r="B65" s="54"/>
      <c r="C65" s="7">
        <v>13</v>
      </c>
      <c r="D65" s="56"/>
      <c r="E65" s="15">
        <v>13</v>
      </c>
    </row>
    <row r="66" spans="2:5" x14ac:dyDescent="0.3">
      <c r="B66" s="54"/>
      <c r="C66" s="7">
        <v>14</v>
      </c>
      <c r="D66" s="56"/>
      <c r="E66" s="15">
        <v>14</v>
      </c>
    </row>
    <row r="67" spans="2:5" ht="17.25" thickBot="1" x14ac:dyDescent="0.35">
      <c r="B67" s="71"/>
      <c r="C67" s="16">
        <v>15</v>
      </c>
      <c r="D67" s="70"/>
      <c r="E67" s="17">
        <v>15</v>
      </c>
    </row>
  </sheetData>
  <mergeCells count="107">
    <mergeCell ref="Y25:Z25"/>
    <mergeCell ref="Y35:Y36"/>
    <mergeCell ref="Y37:Y38"/>
    <mergeCell ref="AB7:AB8"/>
    <mergeCell ref="AB9:AB10"/>
    <mergeCell ref="AB11:AB12"/>
    <mergeCell ref="AB13:AB14"/>
    <mergeCell ref="AB39:AB40"/>
    <mergeCell ref="AB41:AB42"/>
    <mergeCell ref="AB19:AB20"/>
    <mergeCell ref="AB21:AB22"/>
    <mergeCell ref="AB15:AB16"/>
    <mergeCell ref="AB17:AB18"/>
    <mergeCell ref="AB25:AC25"/>
    <mergeCell ref="AB26:AC26"/>
    <mergeCell ref="AB27:AB28"/>
    <mergeCell ref="AB29:AB30"/>
    <mergeCell ref="AB31:AB32"/>
    <mergeCell ref="AB33:AB34"/>
    <mergeCell ref="AB35:AB36"/>
    <mergeCell ref="AB37:AB38"/>
    <mergeCell ref="AB24:AC24"/>
    <mergeCell ref="Y39:Y40"/>
    <mergeCell ref="Y41:Y42"/>
    <mergeCell ref="AB2:AC2"/>
    <mergeCell ref="AB3:AC3"/>
    <mergeCell ref="S28:S47"/>
    <mergeCell ref="R2:T2"/>
    <mergeCell ref="R3:T3"/>
    <mergeCell ref="R4:T4"/>
    <mergeCell ref="S5:S24"/>
    <mergeCell ref="R26:T26"/>
    <mergeCell ref="Y27:Y28"/>
    <mergeCell ref="Y29:Y30"/>
    <mergeCell ref="Y31:Y32"/>
    <mergeCell ref="Y33:Y34"/>
    <mergeCell ref="Y15:Y16"/>
    <mergeCell ref="Y17:Y18"/>
    <mergeCell ref="Y19:Y20"/>
    <mergeCell ref="Y21:Y22"/>
    <mergeCell ref="Y26:Z26"/>
    <mergeCell ref="V23:V24"/>
    <mergeCell ref="V26:W26"/>
    <mergeCell ref="V27:W27"/>
    <mergeCell ref="AB4:AC4"/>
    <mergeCell ref="AB5:AB6"/>
    <mergeCell ref="N26:P26"/>
    <mergeCell ref="N27:P27"/>
    <mergeCell ref="R27:T27"/>
    <mergeCell ref="V46:V47"/>
    <mergeCell ref="V40:V41"/>
    <mergeCell ref="V42:V43"/>
    <mergeCell ref="V44:V45"/>
    <mergeCell ref="V34:V35"/>
    <mergeCell ref="V36:V37"/>
    <mergeCell ref="V38:V39"/>
    <mergeCell ref="V28:V29"/>
    <mergeCell ref="V30:V31"/>
    <mergeCell ref="V32:V33"/>
    <mergeCell ref="Y2:Z2"/>
    <mergeCell ref="Y3:Z3"/>
    <mergeCell ref="Y4:Z4"/>
    <mergeCell ref="Y5:Y6"/>
    <mergeCell ref="Y7:Y8"/>
    <mergeCell ref="Y9:Y10"/>
    <mergeCell ref="Y11:Y12"/>
    <mergeCell ref="Y13:Y14"/>
    <mergeCell ref="O5:O24"/>
    <mergeCell ref="V21:V22"/>
    <mergeCell ref="Y24:Z24"/>
    <mergeCell ref="B52:B67"/>
    <mergeCell ref="D36:D51"/>
    <mergeCell ref="D52:D67"/>
    <mergeCell ref="G2:L2"/>
    <mergeCell ref="N2:P2"/>
    <mergeCell ref="V2:W2"/>
    <mergeCell ref="N3:P3"/>
    <mergeCell ref="N4:P4"/>
    <mergeCell ref="V15:V16"/>
    <mergeCell ref="V17:V18"/>
    <mergeCell ref="V19:V20"/>
    <mergeCell ref="V13:V14"/>
    <mergeCell ref="V11:V12"/>
    <mergeCell ref="V9:V10"/>
    <mergeCell ref="V3:W3"/>
    <mergeCell ref="V4:W4"/>
    <mergeCell ref="V5:V6"/>
    <mergeCell ref="V7:V8"/>
    <mergeCell ref="G3:L3"/>
    <mergeCell ref="G4:I4"/>
    <mergeCell ref="J4:L4"/>
    <mergeCell ref="H5:H24"/>
    <mergeCell ref="K5:K24"/>
    <mergeCell ref="O28:O47"/>
    <mergeCell ref="B2:E2"/>
    <mergeCell ref="B3:C3"/>
    <mergeCell ref="D3:E3"/>
    <mergeCell ref="B4:B19"/>
    <mergeCell ref="D4:D19"/>
    <mergeCell ref="B20:B35"/>
    <mergeCell ref="D20:D35"/>
    <mergeCell ref="G26:L26"/>
    <mergeCell ref="G27:I27"/>
    <mergeCell ref="J27:L27"/>
    <mergeCell ref="H28:H47"/>
    <mergeCell ref="K28:K47"/>
    <mergeCell ref="B36:B5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BBF6C8EE521234C81E882D83A80BAF2" ma:contentTypeVersion="4" ma:contentTypeDescription="새 문서를 만듭니다." ma:contentTypeScope="" ma:versionID="597a0ae47fee21806cb1584675994014">
  <xsd:schema xmlns:xsd="http://www.w3.org/2001/XMLSchema" xmlns:xs="http://www.w3.org/2001/XMLSchema" xmlns:p="http://schemas.microsoft.com/office/2006/metadata/properties" xmlns:ns3="a8c25e5d-264f-47ff-97c4-5f2ce38f6836" targetNamespace="http://schemas.microsoft.com/office/2006/metadata/properties" ma:root="true" ma:fieldsID="fbdff102a5d26f497a60fbac6e4bfc01" ns3:_="">
    <xsd:import namespace="a8c25e5d-264f-47ff-97c4-5f2ce38f68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25e5d-264f-47ff-97c4-5f2ce38f6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3D1EB7-21DE-43E1-88B0-BB5B5B351E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0FF27-650C-4767-AB32-A8E95AD99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c25e5d-264f-47ff-97c4-5f2ce38f68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56A5B4-AE8C-4BEB-B8EC-84CC304D1BB8}">
  <ds:schemaRefs>
    <ds:schemaRef ds:uri="a8c25e5d-264f-47ff-97c4-5f2ce38f6836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신규!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 Dae Hyun</dc:creator>
  <cp:lastModifiedBy>DaeHyun Ryu</cp:lastModifiedBy>
  <dcterms:created xsi:type="dcterms:W3CDTF">2024-09-12T00:37:15Z</dcterms:created>
  <dcterms:modified xsi:type="dcterms:W3CDTF">2025-05-26T10:06:21Z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0x010100EBBF6C8EE521234C81E882D83A80BAF2</vt:lpwstr>
  </property>
</Properties>
</file>